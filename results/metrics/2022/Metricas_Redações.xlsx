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as_redações_diplomatas" sheetId="1" r:id="rId4"/>
    <sheet state="hidden" name="gabmetricas_redações_diplomatas" sheetId="2" r:id="rId5"/>
    <sheet state="visible" name="metricas_media" sheetId="3" r:id="rId6"/>
    <sheet state="visible" name="Command" sheetId="4" r:id="rId7"/>
    <sheet state="visible" name="Gemma" sheetId="5" r:id="rId8"/>
    <sheet state="visible" name="GPT" sheetId="6" r:id="rId9"/>
    <sheet state="visible" name="Llama" sheetId="7" r:id="rId10"/>
    <sheet state="visible" name="Mixtral" sheetId="8" r:id="rId11"/>
    <sheet state="visible" name="Phi" sheetId="9" r:id="rId12"/>
    <sheet state="visible" name="Qwen" sheetId="10" r:id="rId13"/>
    <sheet state="visible" name="Sabia" sheetId="11" r:id="rId14"/>
    <sheet state="visible" name="DadosGeraisExtraídosDasMétricas" sheetId="12" r:id="rId15"/>
    <sheet state="visible" name="Dados por temperatura" sheetId="13" r:id="rId16"/>
    <sheet state="visible" name="Planilha1" sheetId="14" r:id="rId17"/>
  </sheets>
  <definedNames>
    <definedName localSheetId="10" name="DadosExternos_1">Sabia!$A$1:$O$19</definedName>
    <definedName localSheetId="2" name="DadosExternos_1">metricas_media!$A$1:$O$235</definedName>
    <definedName localSheetId="8" name="DadosExternos_1">Phi!$A$1:$O$37</definedName>
    <definedName localSheetId="1" name="DadosExternos_1">'gabmetricas_redações_diplomatas'!$A$1:$O$235</definedName>
    <definedName localSheetId="6" name="DadosExternos_1">Llama!$A$1:$O$37</definedName>
    <definedName localSheetId="4" name="DadosExternos_1">Gemma!$A$1:$O$37</definedName>
    <definedName localSheetId="3" name="DadosExternos_1">Command!$A$1:$O$19</definedName>
    <definedName localSheetId="9" name="DadosExternos_1">Qwen!$A$1:$O$37</definedName>
    <definedName localSheetId="0" name="DadosExternos_1">'metricas_redações_diplomatas'!$A$1:$O$235</definedName>
    <definedName localSheetId="7" name="DadosExternos_1">Mixtral!$A$1:$O$37</definedName>
    <definedName localSheetId="5" name="DadosExternos_1">GPT!$A$1:$O$19</definedName>
  </definedNames>
  <calcPr/>
  <extLst>
    <ext uri="GoogleSheetsCustomDataVersion2">
      <go:sheetsCustomData xmlns:go="http://customooxmlschemas.google.com/" r:id="rId18" roundtripDataChecksum="WThOjW86gbJeT7ka23zmcgUaKxHoPRTHvzpZQwrAPCM="/>
    </ext>
  </extLst>
</workbook>
</file>

<file path=xl/sharedStrings.xml><?xml version="1.0" encoding="utf-8"?>
<sst xmlns="http://schemas.openxmlformats.org/spreadsheetml/2006/main" count="4461" uniqueCount="125">
  <si>
    <t>id</t>
  </si>
  <si>
    <t>modification_type</t>
  </si>
  <si>
    <t>generator_model</t>
  </si>
  <si>
    <t>BLEU_score</t>
  </si>
  <si>
    <t>BERTScore_Precision</t>
  </si>
  <si>
    <t>BERTScore_Recall</t>
  </si>
  <si>
    <t>BERTScore_F1</t>
  </si>
  <si>
    <t>rouge1</t>
  </si>
  <si>
    <t>rouge2</t>
  </si>
  <si>
    <t>rougeL</t>
  </si>
  <si>
    <t>rougeLsum</t>
  </si>
  <si>
    <t>CTC_groundness</t>
  </si>
  <si>
    <t>CTC_groundness_ref</t>
  </si>
  <si>
    <t>CTC_factual</t>
  </si>
  <si>
    <t>CTC_factual_ref</t>
  </si>
  <si>
    <t>0_Ana Luiza</t>
  </si>
  <si>
    <t>texto_prompt_0</t>
  </si>
  <si>
    <t>gpt4o_temp03</t>
  </si>
  <si>
    <t>gpt4o_temp05</t>
  </si>
  <si>
    <t>gpt4o_temp07</t>
  </si>
  <si>
    <t>command_r_plus_08_2024_temp03</t>
  </si>
  <si>
    <t>command_r_plus_08_2024_temp05</t>
  </si>
  <si>
    <t>command_r_plus_08_2024_temp07</t>
  </si>
  <si>
    <t>gemma_27b_temp03</t>
  </si>
  <si>
    <t>gemma_27b_temp05</t>
  </si>
  <si>
    <t>gemma_27b_temp07</t>
  </si>
  <si>
    <t>gemma_9b_temp03</t>
  </si>
  <si>
    <t>gemma_9b_temp05</t>
  </si>
  <si>
    <t>gemma_9b_temp07</t>
  </si>
  <si>
    <t>llama_405b_temp03</t>
  </si>
  <si>
    <t>llama_405b_temp05</t>
  </si>
  <si>
    <t>llama_405b_temp07</t>
  </si>
  <si>
    <t>llama_8b_temp03</t>
  </si>
  <si>
    <t>llama_8b_temp05</t>
  </si>
  <si>
    <t>llama_8b_temp07</t>
  </si>
  <si>
    <t>mixtral_8x22b_temp03</t>
  </si>
  <si>
    <t>mixtral_8x22b_temp05</t>
  </si>
  <si>
    <t>mixtral_8x22b_temp07</t>
  </si>
  <si>
    <t>mixtral_8x7b_temp03</t>
  </si>
  <si>
    <t>mixtral_8x7b_temp05</t>
  </si>
  <si>
    <t>mixtral_8x7b_temp07</t>
  </si>
  <si>
    <t>phi_3_mini_temp03</t>
  </si>
  <si>
    <t>phi_3_mini_temp05</t>
  </si>
  <si>
    <t>phi_3_mini_temp07</t>
  </si>
  <si>
    <t>phi_3.5_vision_temp03</t>
  </si>
  <si>
    <t>phi_3.5_vision_temp05</t>
  </si>
  <si>
    <t>phi_3.5_vision_temp07</t>
  </si>
  <si>
    <t>qwen2_72b_temp03</t>
  </si>
  <si>
    <t>qwen2_72b_temp05</t>
  </si>
  <si>
    <t>qwen2_72b_temp07</t>
  </si>
  <si>
    <t>qwen2_7b_temp03</t>
  </si>
  <si>
    <t>qwen2_7b_temp05</t>
  </si>
  <si>
    <t>qwen2_7b_temp07</t>
  </si>
  <si>
    <t>sabia3_temp03</t>
  </si>
  <si>
    <t>sabia3_temp05</t>
  </si>
  <si>
    <t>sabia3_temp07</t>
  </si>
  <si>
    <t>1_Gabriel Joaquim</t>
  </si>
  <si>
    <t>2_Leonardo Maciura</t>
  </si>
  <si>
    <t>3_Mateus de Andrade</t>
  </si>
  <si>
    <t>4_Patrícia Camargo</t>
  </si>
  <si>
    <t>5_Pedro Guilherme</t>
  </si>
  <si>
    <t>Médias</t>
  </si>
  <si>
    <t>Modelo</t>
  </si>
  <si>
    <t>Bleu</t>
  </si>
  <si>
    <t>Bertscore_precision</t>
  </si>
  <si>
    <t>Bertscore_Recall</t>
  </si>
  <si>
    <t>Bertscore_F1</t>
  </si>
  <si>
    <t>Rouge1</t>
  </si>
  <si>
    <t>Rouge2</t>
  </si>
  <si>
    <t>RougeL</t>
  </si>
  <si>
    <t>RougeLsum</t>
  </si>
  <si>
    <t>CTC_Factual</t>
  </si>
  <si>
    <t>CTC_FactualRef</t>
  </si>
  <si>
    <t>Command_r_plus_08_2024_temp03</t>
  </si>
  <si>
    <t>Command_r_plus_08_2024_temp05</t>
  </si>
  <si>
    <t>Command_r_plus_08_2024_temp07</t>
  </si>
  <si>
    <t>mixtral_8x22_temp03</t>
  </si>
  <si>
    <t>mixtral_8x22_temp05</t>
  </si>
  <si>
    <t>mixtral_8x22_temp07</t>
  </si>
  <si>
    <t>mixtral_8x7_temp03</t>
  </si>
  <si>
    <t>mixtral_8x7_temp05</t>
  </si>
  <si>
    <t>mixtral_8x7_temp07</t>
  </si>
  <si>
    <t>qwen2_72_temp03</t>
  </si>
  <si>
    <t>qwen2_72_temp05</t>
  </si>
  <si>
    <t>qwen2_72_temp07</t>
  </si>
  <si>
    <t>qwen2_7_temp03</t>
  </si>
  <si>
    <t>qwen2_7_temp05</t>
  </si>
  <si>
    <t>qwen2_7_temp07</t>
  </si>
  <si>
    <t>Geral</t>
  </si>
  <si>
    <t>Ana Luiza</t>
  </si>
  <si>
    <t>Gabriel Joaquim</t>
  </si>
  <si>
    <t>Leonardo Maciura</t>
  </si>
  <si>
    <t>Matheus de Andrade</t>
  </si>
  <si>
    <t>Patrícia Camargo</t>
  </si>
  <si>
    <t>Pedro Guilherme</t>
  </si>
  <si>
    <t>1 º Maior</t>
  </si>
  <si>
    <t>2 º Maior</t>
  </si>
  <si>
    <t>3 º Maior</t>
  </si>
  <si>
    <t>Pior</t>
  </si>
  <si>
    <t>Modelo Maior</t>
  </si>
  <si>
    <t>Modelo Menor</t>
  </si>
  <si>
    <t>Gemma</t>
  </si>
  <si>
    <t>Qwen</t>
  </si>
  <si>
    <t>Llama</t>
  </si>
  <si>
    <t>Mixtral</t>
  </si>
  <si>
    <t>Phi</t>
  </si>
  <si>
    <t>Diferenças
(Maior - Menor)</t>
  </si>
  <si>
    <t>Command</t>
  </si>
  <si>
    <t>Sabia</t>
  </si>
  <si>
    <t>GPT</t>
  </si>
  <si>
    <t>command_r_plus</t>
  </si>
  <si>
    <t>gemma_27b</t>
  </si>
  <si>
    <t>gemma_9b</t>
  </si>
  <si>
    <t>gpt4o</t>
  </si>
  <si>
    <t>llama_405b</t>
  </si>
  <si>
    <t>llama_8b</t>
  </si>
  <si>
    <t>mixtral_8x22b</t>
  </si>
  <si>
    <t>mixtral_8x7b</t>
  </si>
  <si>
    <t>phi_3.5_vision</t>
  </si>
  <si>
    <t>phi_3_mini</t>
  </si>
  <si>
    <t>qwen2_72b</t>
  </si>
  <si>
    <t>qwen2_7b</t>
  </si>
  <si>
    <t>sabia3</t>
  </si>
  <si>
    <t>Mateus de Andrade</t>
  </si>
  <si>
    <t>Patricia Camargo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</si>
</sst>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00000"/>
  </numFmts>
  <fonts count="8">
    <font>
      <sz val="11.0"/>
      <color theme="1"/>
      <name val="Calibri"/>
      <scheme val="minor"/>
    </font>
    <font>
      <color theme="1"/>
      <name val="Calibri"/>
      <scheme val="minor"/>
    </font>
    <font>
      <u/>
      <sz val="11.0"/>
      <color theme="1"/>
      <name val="Calibri"/>
    </font>
    <font>
      <sz val="11.0"/>
      <color theme="1"/>
      <name val="Calibri"/>
    </font>
    <font>
      <sz val="18.0"/>
      <color theme="1"/>
      <name val="Calibri"/>
    </font>
    <font>
      <sz val="26.0"/>
      <color theme="1"/>
      <name val="Calibri"/>
    </font>
    <font>
      <i/>
      <sz val="11.0"/>
      <color theme="1"/>
      <name val="Calibri"/>
    </font>
    <font/>
  </fonts>
  <fills count="16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FFD965"/>
        <bgColor rgb="FFFFD965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8EAADB"/>
        <bgColor rgb="FF8EAADB"/>
      </patternFill>
    </fill>
  </fills>
  <borders count="7">
    <border/>
    <border>
      <left/>
      <right/>
      <top/>
      <bottom/>
    </border>
    <border>
      <left/>
      <top/>
      <bottom/>
    </border>
    <border>
      <right/>
      <top/>
      <bottom/>
    </border>
    <border>
      <left/>
      <right/>
      <top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2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3" fontId="3" numFmtId="0" xfId="0" applyAlignment="1" applyFill="1" applyFont="1">
      <alignment vertical="bottom"/>
    </xf>
    <xf borderId="0" fillId="3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4" fontId="3" numFmtId="0" xfId="0" applyAlignment="1" applyFill="1" applyFont="1">
      <alignment vertical="bottom"/>
    </xf>
    <xf borderId="0" fillId="4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/>
    </xf>
    <xf borderId="1" fillId="5" fontId="3" numFmtId="0" xfId="0" applyAlignment="1" applyBorder="1" applyFill="1" applyFont="1">
      <alignment horizontal="center"/>
    </xf>
    <xf borderId="1" fillId="5" fontId="3" numFmtId="0" xfId="0" applyBorder="1" applyFont="1"/>
    <xf borderId="1" fillId="6" fontId="3" numFmtId="0" xfId="0" applyBorder="1" applyFill="1" applyFont="1"/>
    <xf borderId="1" fillId="6" fontId="3" numFmtId="0" xfId="0" applyAlignment="1" applyBorder="1" applyFont="1">
      <alignment horizontal="center"/>
    </xf>
    <xf borderId="1" fillId="7" fontId="3" numFmtId="0" xfId="0" applyAlignment="1" applyBorder="1" applyFill="1" applyFont="1">
      <alignment horizontal="center"/>
    </xf>
    <xf borderId="1" fillId="7" fontId="3" numFmtId="0" xfId="0" applyBorder="1" applyFont="1"/>
    <xf borderId="1" fillId="8" fontId="3" numFmtId="0" xfId="0" applyBorder="1" applyFill="1" applyFont="1"/>
    <xf borderId="1" fillId="8" fontId="3" numFmtId="0" xfId="0" applyAlignment="1" applyBorder="1" applyFont="1">
      <alignment horizontal="center"/>
    </xf>
    <xf borderId="0" fillId="0" fontId="6" numFmtId="0" xfId="0" applyFont="1"/>
    <xf borderId="2" fillId="9" fontId="6" numFmtId="0" xfId="0" applyAlignment="1" applyBorder="1" applyFill="1" applyFont="1">
      <alignment horizontal="center"/>
    </xf>
    <xf borderId="3" fillId="0" fontId="7" numFmtId="0" xfId="0" applyBorder="1" applyFont="1"/>
    <xf borderId="2" fillId="9" fontId="3" numFmtId="0" xfId="0" applyAlignment="1" applyBorder="1" applyFont="1">
      <alignment horizontal="center"/>
    </xf>
    <xf borderId="1" fillId="9" fontId="6" numFmtId="0" xfId="0" applyAlignment="1" applyBorder="1" applyFont="1">
      <alignment horizontal="center"/>
    </xf>
    <xf borderId="1" fillId="9" fontId="3" numFmtId="0" xfId="0" applyAlignment="1" applyBorder="1" applyFont="1">
      <alignment horizontal="center"/>
    </xf>
    <xf borderId="1" fillId="9" fontId="6" numFmtId="0" xfId="0" applyBorder="1" applyFont="1"/>
    <xf borderId="1" fillId="10" fontId="6" numFmtId="0" xfId="0" applyAlignment="1" applyBorder="1" applyFill="1" applyFont="1">
      <alignment horizontal="center"/>
    </xf>
    <xf borderId="1" fillId="9" fontId="3" numFmtId="0" xfId="0" applyBorder="1" applyFont="1"/>
    <xf borderId="1" fillId="10" fontId="3" numFmtId="0" xfId="0" applyAlignment="1" applyBorder="1" applyFont="1">
      <alignment horizontal="center"/>
    </xf>
    <xf borderId="4" fillId="11" fontId="6" numFmtId="0" xfId="0" applyAlignment="1" applyBorder="1" applyFill="1" applyFont="1">
      <alignment horizontal="center" shrinkToFit="0" textRotation="90" wrapText="1"/>
    </xf>
    <xf borderId="2" fillId="11" fontId="6" numFmtId="0" xfId="0" applyAlignment="1" applyBorder="1" applyFont="1">
      <alignment horizontal="center"/>
    </xf>
    <xf borderId="4" fillId="11" fontId="3" numFmtId="0" xfId="0" applyAlignment="1" applyBorder="1" applyFont="1">
      <alignment horizontal="center" shrinkToFit="0" textRotation="90" wrapText="1"/>
    </xf>
    <xf borderId="2" fillId="11" fontId="3" numFmtId="0" xfId="0" applyAlignment="1" applyBorder="1" applyFont="1">
      <alignment horizontal="center"/>
    </xf>
    <xf borderId="5" fillId="0" fontId="7" numFmtId="0" xfId="0" applyBorder="1" applyFont="1"/>
    <xf borderId="6" fillId="0" fontId="7" numFmtId="0" xfId="0" applyBorder="1" applyFont="1"/>
    <xf borderId="2" fillId="12" fontId="6" numFmtId="0" xfId="0" applyAlignment="1" applyBorder="1" applyFill="1" applyFont="1">
      <alignment horizontal="center"/>
    </xf>
    <xf borderId="2" fillId="12" fontId="3" numFmtId="0" xfId="0" applyAlignment="1" applyBorder="1" applyFont="1">
      <alignment horizontal="center"/>
    </xf>
    <xf borderId="1" fillId="12" fontId="6" numFmtId="0" xfId="0" applyAlignment="1" applyBorder="1" applyFont="1">
      <alignment horizontal="center"/>
    </xf>
    <xf borderId="1" fillId="12" fontId="3" numFmtId="0" xfId="0" applyAlignment="1" applyBorder="1" applyFont="1">
      <alignment horizontal="center"/>
    </xf>
    <xf borderId="1" fillId="12" fontId="6" numFmtId="0" xfId="0" applyBorder="1" applyFont="1"/>
    <xf borderId="1" fillId="13" fontId="6" numFmtId="0" xfId="0" applyAlignment="1" applyBorder="1" applyFill="1" applyFont="1">
      <alignment horizontal="center"/>
    </xf>
    <xf borderId="1" fillId="12" fontId="3" numFmtId="0" xfId="0" applyBorder="1" applyFont="1"/>
    <xf borderId="1" fillId="13" fontId="3" numFmtId="0" xfId="0" applyAlignment="1" applyBorder="1" applyFont="1">
      <alignment horizontal="center"/>
    </xf>
    <xf borderId="4" fillId="14" fontId="6" numFmtId="0" xfId="0" applyAlignment="1" applyBorder="1" applyFill="1" applyFont="1">
      <alignment horizontal="center" shrinkToFit="0" textRotation="90" wrapText="1"/>
    </xf>
    <xf borderId="2" fillId="14" fontId="6" numFmtId="0" xfId="0" applyAlignment="1" applyBorder="1" applyFont="1">
      <alignment horizontal="center"/>
    </xf>
    <xf borderId="4" fillId="14" fontId="3" numFmtId="0" xfId="0" applyAlignment="1" applyBorder="1" applyFont="1">
      <alignment horizontal="center" shrinkToFit="0" textRotation="90" wrapText="1"/>
    </xf>
    <xf borderId="2" fillId="14" fontId="3" numFmtId="0" xfId="0" applyAlignment="1" applyBorder="1" applyFont="1">
      <alignment horizontal="center"/>
    </xf>
    <xf borderId="1" fillId="15" fontId="3" numFmtId="0" xfId="0" applyAlignment="1" applyBorder="1" applyFill="1" applyFont="1">
      <alignment horizontal="center"/>
    </xf>
    <xf borderId="1" fillId="15" fontId="3" numFmtId="0" xfId="0" applyBorder="1" applyFont="1"/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1">
    <tableStyle count="3" pivot="0" name="metricas_redações_diplomatas-style">
      <tableStyleElement dxfId="1" type="headerRow"/>
      <tableStyleElement dxfId="2" type="firstRowStripe"/>
      <tableStyleElement dxfId="3" type="secondRowStripe"/>
    </tableStyle>
    <tableStyle count="3" pivot="0" name="gabmetricas_redações_diplomatas-style">
      <tableStyleElement dxfId="1" type="headerRow"/>
      <tableStyleElement dxfId="2" type="firstRowStripe"/>
      <tableStyleElement dxfId="3" type="secondRowStripe"/>
    </tableStyle>
    <tableStyle count="3" pivot="0" name="metricas_media-style">
      <tableStyleElement dxfId="1" type="headerRow"/>
      <tableStyleElement dxfId="2" type="firstRowStripe"/>
      <tableStyleElement dxfId="3" type="secondRowStripe"/>
    </tableStyle>
    <tableStyle count="3" pivot="0" name="Command-style">
      <tableStyleElement dxfId="1" type="headerRow"/>
      <tableStyleElement dxfId="2" type="firstRowStripe"/>
      <tableStyleElement dxfId="3" type="secondRowStripe"/>
    </tableStyle>
    <tableStyle count="3" pivot="0" name="Gemma-style">
      <tableStyleElement dxfId="1" type="headerRow"/>
      <tableStyleElement dxfId="2" type="firstRowStripe"/>
      <tableStyleElement dxfId="3" type="secondRowStripe"/>
    </tableStyle>
    <tableStyle count="3" pivot="0" name="GPT-style">
      <tableStyleElement dxfId="1" type="headerRow"/>
      <tableStyleElement dxfId="2" type="firstRowStripe"/>
      <tableStyleElement dxfId="3" type="secondRowStripe"/>
    </tableStyle>
    <tableStyle count="3" pivot="0" name="Llama-style">
      <tableStyleElement dxfId="1" type="headerRow"/>
      <tableStyleElement dxfId="2" type="firstRowStripe"/>
      <tableStyleElement dxfId="3" type="secondRowStripe"/>
    </tableStyle>
    <tableStyle count="3" pivot="0" name="Mixtral-style">
      <tableStyleElement dxfId="1" type="headerRow"/>
      <tableStyleElement dxfId="2" type="firstRowStripe"/>
      <tableStyleElement dxfId="3" type="secondRowStripe"/>
    </tableStyle>
    <tableStyle count="3" pivot="0" name="Phi-style">
      <tableStyleElement dxfId="1" type="headerRow"/>
      <tableStyleElement dxfId="2" type="firstRowStripe"/>
      <tableStyleElement dxfId="3" type="secondRowStripe"/>
    </tableStyle>
    <tableStyle count="3" pivot="0" name="Qwen-style">
      <tableStyleElement dxfId="1" type="headerRow"/>
      <tableStyleElement dxfId="2" type="firstRowStripe"/>
      <tableStyleElement dxfId="3" type="secondRowStripe"/>
    </tableStyle>
    <tableStyle count="3" pivot="0" name="Sabi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316184069447846"/>
          <c:y val="0.05790666720680812"/>
          <c:w val="0.5384220970419354"/>
          <c:h val="0.9026108904925251"/>
        </c:manualLayout>
      </c:layout>
      <c:radarChart>
        <c:radarStyle val="marker"/>
        <c:ser>
          <c:idx val="0"/>
          <c:order val="0"/>
          <c:tx>
            <c:strRef>
              <c:f>'metricas_redações_diplomatas'!$D$1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'metricas_redações_diplomatas'!$C$2:$C$241</c:f>
            </c:strRef>
          </c:cat>
          <c:val>
            <c:numRef>
              <c:f>'metricas_redações_diplomatas'!$D$2:$D$241</c:f>
              <c:numCache/>
            </c:numRef>
          </c:val>
          <c:smooth val="1"/>
        </c:ser>
        <c:ser>
          <c:idx val="1"/>
          <c:order val="1"/>
          <c:tx>
            <c:strRef>
              <c:f>'metricas_redações_diplomatas'!$I$1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'metricas_redações_diplomatas'!$C$2:$C$241</c:f>
            </c:strRef>
          </c:cat>
          <c:val>
            <c:numRef>
              <c:f>'metricas_redações_diplomatas'!$I$2:$I$241</c:f>
              <c:numCache/>
            </c:numRef>
          </c:val>
          <c:smooth val="1"/>
        </c:ser>
        <c:ser>
          <c:idx val="2"/>
          <c:order val="2"/>
          <c:tx>
            <c:strRef>
              <c:f>'metricas_redações_diplomatas'!$J$1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'metricas_redações_diplomatas'!$C$2:$C$241</c:f>
            </c:strRef>
          </c:cat>
          <c:val>
            <c:numRef>
              <c:f>'metricas_redações_diplomatas'!$J$2:$J$241</c:f>
              <c:numCache/>
            </c:numRef>
          </c:val>
          <c:smooth val="1"/>
        </c:ser>
        <c:ser>
          <c:idx val="3"/>
          <c:order val="3"/>
          <c:tx>
            <c:strRef>
              <c:f>'metricas_redações_diplomatas'!$K$1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'metricas_redações_diplomatas'!$C$2:$C$241</c:f>
            </c:strRef>
          </c:cat>
          <c:val>
            <c:numRef>
              <c:f>'metricas_redações_diplomatas'!$K$2:$K$241</c:f>
              <c:numCache/>
            </c:numRef>
          </c:val>
          <c:smooth val="1"/>
        </c:ser>
        <c:axId val="302870611"/>
        <c:axId val="1621629626"/>
      </c:radarChart>
      <c:catAx>
        <c:axId val="302870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1629626"/>
      </c:catAx>
      <c:valAx>
        <c:axId val="16216296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2870611"/>
      </c:valAx>
    </c:plotArea>
    <c:legend>
      <c:legendPos val="t"/>
      <c:overlay val="0"/>
      <c:txPr>
        <a:bodyPr/>
        <a:lstStyle/>
        <a:p>
          <a:pPr lvl="0">
            <a:defRPr b="0" i="0" sz="5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3703062236784492"/>
          <c:y val="0.05243138782533828"/>
          <c:w val="0.5280878417967717"/>
          <c:h val="0.9126634368262636"/>
        </c:manualLayout>
      </c:layout>
      <c:radarChart>
        <c:radarStyle val="marker"/>
        <c:ser>
          <c:idx val="0"/>
          <c:order val="0"/>
          <c:tx>
            <c:strRef>
              <c:f>'metricas_redações_diplomatas'!$E$1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'metricas_redações_diplomatas'!$C$2:$C$241</c:f>
            </c:strRef>
          </c:cat>
          <c:val>
            <c:numRef>
              <c:f>'metricas_redações_diplomatas'!$E$2:$E$241</c:f>
              <c:numCache/>
            </c:numRef>
          </c:val>
          <c:smooth val="1"/>
        </c:ser>
        <c:ser>
          <c:idx val="1"/>
          <c:order val="1"/>
          <c:tx>
            <c:strRef>
              <c:f>'metricas_redações_diplomatas'!$F$1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'metricas_redações_diplomatas'!$C$2:$C$241</c:f>
            </c:strRef>
          </c:cat>
          <c:val>
            <c:numRef>
              <c:f>'metricas_redações_diplomatas'!$F$2:$F$241</c:f>
              <c:numCache/>
            </c:numRef>
          </c:val>
          <c:smooth val="1"/>
        </c:ser>
        <c:ser>
          <c:idx val="2"/>
          <c:order val="2"/>
          <c:tx>
            <c:strRef>
              <c:f>'metricas_redações_diplomatas'!$G$1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'metricas_redações_diplomatas'!$C$2:$C$241</c:f>
            </c:strRef>
          </c:cat>
          <c:val>
            <c:numRef>
              <c:f>'metricas_redações_diplomatas'!$G$2:$G$241</c:f>
              <c:numCache/>
            </c:numRef>
          </c:val>
          <c:smooth val="1"/>
        </c:ser>
        <c:ser>
          <c:idx val="3"/>
          <c:order val="3"/>
          <c:tx>
            <c:strRef>
              <c:f>'metricas_redações_diplomatas'!$H$1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'metricas_redações_diplomatas'!$C$2:$C$241</c:f>
            </c:strRef>
          </c:cat>
          <c:val>
            <c:numRef>
              <c:f>'metricas_redações_diplomatas'!$H$2:$H$241</c:f>
              <c:numCache/>
            </c:numRef>
          </c:val>
          <c:smooth val="1"/>
        </c:ser>
        <c:ser>
          <c:idx val="4"/>
          <c:order val="4"/>
          <c:tx>
            <c:strRef>
              <c:f>'metricas_redações_diplomatas'!$N$1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'metricas_redações_diplomatas'!$C$2:$C$241</c:f>
            </c:strRef>
          </c:cat>
          <c:val>
            <c:numRef>
              <c:f>'metricas_redações_diplomatas'!$N$2:$N$241</c:f>
              <c:numCache/>
            </c:numRef>
          </c:val>
          <c:smooth val="1"/>
        </c:ser>
        <c:ser>
          <c:idx val="5"/>
          <c:order val="5"/>
          <c:tx>
            <c:strRef>
              <c:f>'metricas_redações_diplomatas'!$O$1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'metricas_redações_diplomatas'!$C$2:$C$241</c:f>
            </c:strRef>
          </c:cat>
          <c:val>
            <c:numRef>
              <c:f>'metricas_redações_diplomatas'!$O$2:$O$241</c:f>
              <c:numCache/>
            </c:numRef>
          </c:val>
          <c:smooth val="1"/>
        </c:ser>
        <c:axId val="1946459885"/>
        <c:axId val="1680501788"/>
      </c:radarChart>
      <c:catAx>
        <c:axId val="1946459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0501788"/>
      </c:catAx>
      <c:valAx>
        <c:axId val="16805017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6459885"/>
      </c:valAx>
    </c:plotArea>
    <c:legend>
      <c:legendPos val="t"/>
      <c:overlay val="0"/>
      <c:txPr>
        <a:bodyPr/>
        <a:lstStyle/>
        <a:p>
          <a:pPr lvl="0">
            <a:defRPr b="0" i="0" sz="500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GABRIEL JOAQUIM  - NOTA: 56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v>BLEU_score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'metricas_redações_diplomatas'!$C$41:$C$79</c:f>
            </c:strRef>
          </c:cat>
          <c:val>
            <c:numRef>
              <c:f>'metricas_redações_diplomatas'!$D$41:$D$79</c:f>
              <c:numCache/>
            </c:numRef>
          </c:val>
          <c:smooth val="1"/>
        </c:ser>
        <c:ser>
          <c:idx val="1"/>
          <c:order val="1"/>
          <c:tx>
            <c:v>rouge2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'metricas_redações_diplomatas'!$C$41:$C$79</c:f>
            </c:strRef>
          </c:cat>
          <c:val>
            <c:numRef>
              <c:f>'metricas_redações_diplomatas'!$I$41:$I$79</c:f>
              <c:numCache/>
            </c:numRef>
          </c:val>
          <c:smooth val="1"/>
        </c:ser>
        <c:ser>
          <c:idx val="2"/>
          <c:order val="2"/>
          <c:tx>
            <c:v>rougeL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'metricas_redações_diplomatas'!$C$41:$C$79</c:f>
            </c:strRef>
          </c:cat>
          <c:val>
            <c:numRef>
              <c:f>'metricas_redações_diplomatas'!$J$41:$J$79</c:f>
              <c:numCache/>
            </c:numRef>
          </c:val>
          <c:smooth val="1"/>
        </c:ser>
        <c:ser>
          <c:idx val="3"/>
          <c:order val="3"/>
          <c:tx>
            <c:v>rougeLsum</c:v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'metricas_redações_diplomatas'!$C$41:$C$79</c:f>
            </c:strRef>
          </c:cat>
          <c:val>
            <c:numRef>
              <c:f>'metricas_redações_diplomatas'!$K$41:$K$79</c:f>
              <c:numCache/>
            </c:numRef>
          </c:val>
          <c:smooth val="1"/>
        </c:ser>
        <c:ser>
          <c:idx val="4"/>
          <c:order val="4"/>
          <c:tx>
            <c:v>rouge1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'metricas_redações_diplomatas'!$C$41:$C$79</c:f>
            </c:strRef>
          </c:cat>
          <c:val>
            <c:numRef>
              <c:f>'metricas_redações_diplomatas'!$H$41:$H$79</c:f>
              <c:numCache/>
            </c:numRef>
          </c:val>
          <c:smooth val="1"/>
        </c:ser>
        <c:axId val="426039364"/>
        <c:axId val="63905891"/>
      </c:radarChart>
      <c:catAx>
        <c:axId val="4260393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905891"/>
      </c:catAx>
      <c:valAx>
        <c:axId val="639058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6039364"/>
      </c:valAx>
    </c:plotArea>
    <c:legend>
      <c:legendPos val="l"/>
      <c:overlay val="0"/>
      <c:txPr>
        <a:bodyPr/>
        <a:lstStyle/>
        <a:p>
          <a:pPr lvl="0">
            <a:defRPr b="0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GABRIEL JOAQUIM  - NOTA: 56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v>BERTSore_Precision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'metricas_redações_diplomatas'!$C$41:$C$79</c:f>
            </c:strRef>
          </c:cat>
          <c:val>
            <c:numRef>
              <c:f>'metricas_redações_diplomatas'!$E$41:$E$79</c:f>
              <c:numCache/>
            </c:numRef>
          </c:val>
          <c:smooth val="1"/>
        </c:ser>
        <c:ser>
          <c:idx val="1"/>
          <c:order val="1"/>
          <c:tx>
            <c:v>BERTScore_Recall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'metricas_redações_diplomatas'!$C$41:$C$79</c:f>
            </c:strRef>
          </c:cat>
          <c:val>
            <c:numRef>
              <c:f>'metricas_redações_diplomatas'!$F$41:$F$79</c:f>
              <c:numCache/>
            </c:numRef>
          </c:val>
          <c:smooth val="1"/>
        </c:ser>
        <c:ser>
          <c:idx val="2"/>
          <c:order val="2"/>
          <c:tx>
            <c:v>BERTScore_F1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'metricas_redações_diplomatas'!$C$41:$C$79</c:f>
            </c:strRef>
          </c:cat>
          <c:val>
            <c:numRef>
              <c:f>'metricas_redações_diplomatas'!$G$41:$G$79</c:f>
              <c:numCache/>
            </c:numRef>
          </c:val>
          <c:smooth val="1"/>
        </c:ser>
        <c:ser>
          <c:idx val="3"/>
          <c:order val="3"/>
          <c:tx>
            <c:v>----</c:v>
          </c:tx>
          <c:spPr>
            <a:ln cmpd="sng">
              <a:solidFill>
                <a:srgbClr val="FFC000">
                  <a:alpha val="0"/>
                </a:srgbClr>
              </a:solidFill>
            </a:ln>
          </c:spPr>
          <c:marker>
            <c:symbol val="none"/>
          </c:marker>
          <c:cat>
            <c:strRef>
              <c:f>'metricas_redações_diplomatas'!$C$41:$C$79</c:f>
            </c:strRef>
          </c:cat>
          <c:val>
            <c:numRef>
              <c:f>'metricas_redações_diplomatas'!$H$41:$H$79</c:f>
              <c:numCache/>
            </c:numRef>
          </c:val>
          <c:smooth val="1"/>
        </c:ser>
        <c:ser>
          <c:idx val="4"/>
          <c:order val="4"/>
          <c:tx>
            <c:v>CTC_factual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'metricas_redações_diplomatas'!$C$41:$C$79</c:f>
            </c:strRef>
          </c:cat>
          <c:val>
            <c:numRef>
              <c:f>'metricas_redações_diplomatas'!$N$41:$N$79</c:f>
              <c:numCache/>
            </c:numRef>
          </c:val>
          <c:smooth val="1"/>
        </c:ser>
        <c:ser>
          <c:idx val="5"/>
          <c:order val="5"/>
          <c:tx>
            <c:v>CTC_factual_ref</c:v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'metricas_redações_diplomatas'!$C$41:$C$79</c:f>
            </c:strRef>
          </c:cat>
          <c:val>
            <c:numRef>
              <c:f>'metricas_redações_diplomatas'!$O$41:$O$79</c:f>
              <c:numCache/>
            </c:numRef>
          </c:val>
          <c:smooth val="1"/>
        </c:ser>
        <c:axId val="2007172701"/>
        <c:axId val="1129336169"/>
      </c:radarChart>
      <c:catAx>
        <c:axId val="2007172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9336169"/>
      </c:catAx>
      <c:valAx>
        <c:axId val="11293361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7172701"/>
      </c:valAx>
    </c:plotArea>
    <c:legend>
      <c:legendPos val="l"/>
      <c:overlay val="0"/>
      <c:txPr>
        <a:bodyPr/>
        <a:lstStyle/>
        <a:p>
          <a:pPr lvl="0">
            <a:defRPr b="0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ANA LUIZA  - NOTA: 55,5</a:t>
            </a:r>
          </a:p>
        </c:rich>
      </c:tx>
      <c:overlay val="0"/>
    </c:title>
    <c:plotArea>
      <c:layout>
        <c:manualLayout>
          <c:xMode val="edge"/>
          <c:yMode val="edge"/>
          <c:x val="0.18738977072310406"/>
          <c:y val="0.14994026284348866"/>
          <c:w val="0.7757054673721341"/>
          <c:h val="0.8000597371565114"/>
        </c:manualLayout>
      </c:layout>
      <c:radarChart>
        <c:radarStyle val="marker"/>
        <c:ser>
          <c:idx val="0"/>
          <c:order val="0"/>
          <c:tx>
            <c:v>BLEU_score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'metricas_redações_diplomatas'!$C$2:$C$40</c:f>
            </c:strRef>
          </c:cat>
          <c:val>
            <c:numRef>
              <c:f>'metricas_redações_diplomatas'!$D$2:$D$40</c:f>
              <c:numCache/>
            </c:numRef>
          </c:val>
          <c:smooth val="1"/>
        </c:ser>
        <c:ser>
          <c:idx val="1"/>
          <c:order val="1"/>
          <c:tx>
            <c:v>rouge2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'metricas_redações_diplomatas'!$C$2:$C$40</c:f>
            </c:strRef>
          </c:cat>
          <c:val>
            <c:numRef>
              <c:f>'metricas_redações_diplomatas'!$I$2:$I$40</c:f>
              <c:numCache/>
            </c:numRef>
          </c:val>
          <c:smooth val="1"/>
        </c:ser>
        <c:ser>
          <c:idx val="2"/>
          <c:order val="2"/>
          <c:tx>
            <c:v>rougeL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'metricas_redações_diplomatas'!$C$2:$C$40</c:f>
            </c:strRef>
          </c:cat>
          <c:val>
            <c:numRef>
              <c:f>'metricas_redações_diplomatas'!$J$2:$J$40</c:f>
              <c:numCache/>
            </c:numRef>
          </c:val>
          <c:smooth val="1"/>
        </c:ser>
        <c:ser>
          <c:idx val="3"/>
          <c:order val="3"/>
          <c:tx>
            <c:v>rougeLsum</c:v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'metricas_redações_diplomatas'!$C$2:$C$40</c:f>
            </c:strRef>
          </c:cat>
          <c:val>
            <c:numRef>
              <c:f>'metricas_redações_diplomatas'!$K$2:$K$40</c:f>
              <c:numCache/>
            </c:numRef>
          </c:val>
          <c:smooth val="1"/>
        </c:ser>
        <c:ser>
          <c:idx val="4"/>
          <c:order val="4"/>
          <c:tx>
            <c:strRef>
              <c:f>'metricas_redações_diplomatas'!$H$1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'metricas_redações_diplomatas'!$C$2:$C$40</c:f>
            </c:strRef>
          </c:cat>
          <c:val>
            <c:numRef>
              <c:f>'metricas_redações_diplomatas'!$H$2:$H$40</c:f>
              <c:numCache/>
            </c:numRef>
          </c:val>
          <c:smooth val="1"/>
        </c:ser>
        <c:axId val="528520724"/>
        <c:axId val="1872297571"/>
      </c:radarChart>
      <c:catAx>
        <c:axId val="528520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2297571"/>
      </c:catAx>
      <c:valAx>
        <c:axId val="18722975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8520724"/>
      </c:valAx>
    </c:plotArea>
    <c:legend>
      <c:legendPos val="l"/>
      <c:overlay val="0"/>
      <c:txPr>
        <a:bodyPr/>
        <a:lstStyle/>
        <a:p>
          <a:pPr lvl="0">
            <a:defRPr b="0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ANA LUIZA  - NOTA: 55,5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v>BERTSore_Precision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'metricas_redações_diplomatas'!$C$2:$C$40</c:f>
            </c:strRef>
          </c:cat>
          <c:val>
            <c:numRef>
              <c:f>'metricas_redações_diplomatas'!$E$2:$E$40</c:f>
              <c:numCache/>
            </c:numRef>
          </c:val>
          <c:smooth val="1"/>
        </c:ser>
        <c:ser>
          <c:idx val="1"/>
          <c:order val="1"/>
          <c:tx>
            <c:v>BERTScore_Recall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'metricas_redações_diplomatas'!$C$2:$C$40</c:f>
            </c:strRef>
          </c:cat>
          <c:val>
            <c:numRef>
              <c:f>'metricas_redações_diplomatas'!$F$2:$F$40</c:f>
              <c:numCache/>
            </c:numRef>
          </c:val>
          <c:smooth val="1"/>
        </c:ser>
        <c:ser>
          <c:idx val="2"/>
          <c:order val="2"/>
          <c:tx>
            <c:v>BERTScore_F1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'metricas_redações_diplomatas'!$C$2:$C$40</c:f>
            </c:strRef>
          </c:cat>
          <c:val>
            <c:numRef>
              <c:f>'metricas_redações_diplomatas'!$G$2:$G$40</c:f>
              <c:numCache/>
            </c:numRef>
          </c:val>
          <c:smooth val="1"/>
        </c:ser>
        <c:ser>
          <c:idx val="3"/>
          <c:order val="3"/>
          <c:tx>
            <c:v>-----</c:v>
          </c:tx>
          <c:spPr>
            <a:ln cmpd="sng">
              <a:solidFill>
                <a:srgbClr val="FFC000">
                  <a:alpha val="0"/>
                </a:srgbClr>
              </a:solidFill>
            </a:ln>
          </c:spPr>
          <c:marker>
            <c:symbol val="none"/>
          </c:marker>
          <c:cat>
            <c:strRef>
              <c:f>'metricas_redações_diplomatas'!$C$2:$C$40</c:f>
            </c:strRef>
          </c:cat>
          <c:val>
            <c:numRef>
              <c:f>'metricas_redações_diplomatas'!$H$2:$H$40</c:f>
              <c:numCache/>
            </c:numRef>
          </c:val>
          <c:smooth val="1"/>
        </c:ser>
        <c:ser>
          <c:idx val="4"/>
          <c:order val="4"/>
          <c:tx>
            <c:v>CTC_factual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'metricas_redações_diplomatas'!$C$2:$C$40</c:f>
            </c:strRef>
          </c:cat>
          <c:val>
            <c:numRef>
              <c:f>'metricas_redações_diplomatas'!$N$2:$N$40</c:f>
              <c:numCache/>
            </c:numRef>
          </c:val>
          <c:smooth val="1"/>
        </c:ser>
        <c:ser>
          <c:idx val="5"/>
          <c:order val="5"/>
          <c:tx>
            <c:v>CTC_factual_ref</c:v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'metricas_redações_diplomatas'!$C$2:$C$40</c:f>
            </c:strRef>
          </c:cat>
          <c:val>
            <c:numRef>
              <c:f>'metricas_redações_diplomatas'!$O$2:$O$40</c:f>
              <c:numCache/>
            </c:numRef>
          </c:val>
          <c:smooth val="1"/>
        </c:ser>
        <c:axId val="319665711"/>
        <c:axId val="1032799038"/>
      </c:radarChart>
      <c:catAx>
        <c:axId val="319665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2799038"/>
      </c:catAx>
      <c:valAx>
        <c:axId val="10327990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9665711"/>
      </c:valAx>
    </c:plotArea>
    <c:legend>
      <c:legendPos val="l"/>
      <c:overlay val="0"/>
      <c:txPr>
        <a:bodyPr/>
        <a:lstStyle/>
        <a:p>
          <a:pPr lvl="0">
            <a:defRPr b="0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PEDRO GUILHERME  - NOTA: 57,5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v>BLEU_score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'metricas_redações_diplomatas'!$C$197:$C$235</c:f>
            </c:strRef>
          </c:cat>
          <c:val>
            <c:numRef>
              <c:f>'metricas_redações_diplomatas'!$D$197:$D$235</c:f>
              <c:numCache/>
            </c:numRef>
          </c:val>
          <c:smooth val="1"/>
        </c:ser>
        <c:ser>
          <c:idx val="1"/>
          <c:order val="1"/>
          <c:tx>
            <c:v>rouge2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'metricas_redações_diplomatas'!$C$197:$C$235</c:f>
            </c:strRef>
          </c:cat>
          <c:val>
            <c:numRef>
              <c:f>'metricas_redações_diplomatas'!$I$197:$I$235</c:f>
              <c:numCache/>
            </c:numRef>
          </c:val>
          <c:smooth val="1"/>
        </c:ser>
        <c:ser>
          <c:idx val="2"/>
          <c:order val="2"/>
          <c:tx>
            <c:v>rougeL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'metricas_redações_diplomatas'!$C$197:$C$235</c:f>
            </c:strRef>
          </c:cat>
          <c:val>
            <c:numRef>
              <c:f>'metricas_redações_diplomatas'!$J$197:$J$235</c:f>
              <c:numCache/>
            </c:numRef>
          </c:val>
          <c:smooth val="1"/>
        </c:ser>
        <c:ser>
          <c:idx val="3"/>
          <c:order val="3"/>
          <c:tx>
            <c:v>rougeLsum</c:v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'metricas_redações_diplomatas'!$C$197:$C$235</c:f>
            </c:strRef>
          </c:cat>
          <c:val>
            <c:numRef>
              <c:f>'metricas_redações_diplomatas'!$K$197:$K$235</c:f>
              <c:numCache/>
            </c:numRef>
          </c:val>
          <c:smooth val="1"/>
        </c:ser>
        <c:ser>
          <c:idx val="4"/>
          <c:order val="4"/>
          <c:tx>
            <c:v>rouge1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'metricas_redações_diplomatas'!$C$197:$C$235</c:f>
            </c:strRef>
          </c:cat>
          <c:val>
            <c:numRef>
              <c:f>'metricas_redações_diplomatas'!$H$197:$H$235</c:f>
              <c:numCache/>
            </c:numRef>
          </c:val>
          <c:smooth val="1"/>
        </c:ser>
        <c:axId val="1670285842"/>
        <c:axId val="1917488496"/>
      </c:radarChart>
      <c:catAx>
        <c:axId val="16702858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7488496"/>
      </c:catAx>
      <c:valAx>
        <c:axId val="1917488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0285842"/>
      </c:valAx>
    </c:plotArea>
    <c:legend>
      <c:legendPos val="l"/>
      <c:overlay val="0"/>
      <c:txPr>
        <a:bodyPr/>
        <a:lstStyle/>
        <a:p>
          <a:pPr lvl="0">
            <a:defRPr b="0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PEDRO GUILHERME  - NOTA: 57,5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v>BERTSore_Precision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'metricas_redações_diplomatas'!$C$197:$C$235</c:f>
            </c:strRef>
          </c:cat>
          <c:val>
            <c:numRef>
              <c:f>'metricas_redações_diplomatas'!$E$197:$E$235</c:f>
              <c:numCache/>
            </c:numRef>
          </c:val>
          <c:smooth val="1"/>
        </c:ser>
        <c:ser>
          <c:idx val="1"/>
          <c:order val="1"/>
          <c:tx>
            <c:v>BERTScore_Recall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'metricas_redações_diplomatas'!$C$197:$C$235</c:f>
            </c:strRef>
          </c:cat>
          <c:val>
            <c:numRef>
              <c:f>'metricas_redações_diplomatas'!$F$197:$F$235</c:f>
              <c:numCache/>
            </c:numRef>
          </c:val>
          <c:smooth val="1"/>
        </c:ser>
        <c:ser>
          <c:idx val="2"/>
          <c:order val="2"/>
          <c:tx>
            <c:v>BERTScore_F1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'metricas_redações_diplomatas'!$C$197:$C$235</c:f>
            </c:strRef>
          </c:cat>
          <c:val>
            <c:numRef>
              <c:f>'metricas_redações_diplomatas'!$G$197:$G$235</c:f>
              <c:numCache/>
            </c:numRef>
          </c:val>
          <c:smooth val="1"/>
        </c:ser>
        <c:ser>
          <c:idx val="3"/>
          <c:order val="3"/>
          <c:tx>
            <c:v>----</c:v>
          </c:tx>
          <c:spPr>
            <a:ln cmpd="sng">
              <a:solidFill>
                <a:srgbClr val="FFC000">
                  <a:alpha val="0"/>
                </a:srgbClr>
              </a:solidFill>
            </a:ln>
          </c:spPr>
          <c:marker>
            <c:symbol val="none"/>
          </c:marker>
          <c:cat>
            <c:strRef>
              <c:f>'metricas_redações_diplomatas'!$C$197:$C$235</c:f>
            </c:strRef>
          </c:cat>
          <c:val>
            <c:numRef>
              <c:f>'metricas_redações_diplomatas'!$H$197:$H$235</c:f>
              <c:numCache/>
            </c:numRef>
          </c:val>
          <c:smooth val="1"/>
        </c:ser>
        <c:ser>
          <c:idx val="4"/>
          <c:order val="4"/>
          <c:tx>
            <c:v>CTC_factual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'metricas_redações_diplomatas'!$C$197:$C$235</c:f>
            </c:strRef>
          </c:cat>
          <c:val>
            <c:numRef>
              <c:f>'metricas_redações_diplomatas'!$N$197:$N$235</c:f>
              <c:numCache/>
            </c:numRef>
          </c:val>
          <c:smooth val="1"/>
        </c:ser>
        <c:ser>
          <c:idx val="5"/>
          <c:order val="5"/>
          <c:tx>
            <c:v>CTC_factual_ref</c:v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'metricas_redações_diplomatas'!$C$197:$C$235</c:f>
            </c:strRef>
          </c:cat>
          <c:val>
            <c:numRef>
              <c:f>'metricas_redações_diplomatas'!$O$197:$O$235</c:f>
              <c:numCache/>
            </c:numRef>
          </c:val>
          <c:smooth val="1"/>
        </c:ser>
        <c:axId val="1114307506"/>
        <c:axId val="2114582059"/>
      </c:radarChart>
      <c:catAx>
        <c:axId val="1114307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4582059"/>
      </c:catAx>
      <c:valAx>
        <c:axId val="21145820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4307506"/>
      </c:valAx>
    </c:plotArea>
    <c:legend>
      <c:legendPos val="l"/>
      <c:overlay val="0"/>
      <c:txPr>
        <a:bodyPr/>
        <a:lstStyle/>
        <a:p>
          <a:pPr lvl="0">
            <a:defRPr b="0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LEONARDO MACIURA  - NOTA: 58</a:t>
            </a:r>
          </a:p>
        </c:rich>
      </c:tx>
      <c:overlay val="0"/>
    </c:title>
    <c:plotArea>
      <c:layout>
        <c:manualLayout>
          <c:xMode val="edge"/>
          <c:yMode val="edge"/>
          <c:x val="0.18666902060878962"/>
          <c:y val="0.13440860215053763"/>
          <c:w val="0.7273521434123744"/>
          <c:h val="0.764041885776294"/>
        </c:manualLayout>
      </c:layout>
      <c:radarChart>
        <c:radarStyle val="marker"/>
        <c:ser>
          <c:idx val="0"/>
          <c:order val="0"/>
          <c:tx>
            <c:v>BLEU_score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'metricas_redações_diplomatas'!$C$80:$C$118</c:f>
            </c:strRef>
          </c:cat>
          <c:val>
            <c:numRef>
              <c:f>'metricas_redações_diplomatas'!$D$80:$D$118</c:f>
              <c:numCache/>
            </c:numRef>
          </c:val>
          <c:smooth val="1"/>
        </c:ser>
        <c:ser>
          <c:idx val="1"/>
          <c:order val="1"/>
          <c:tx>
            <c:v>rouge2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'metricas_redações_diplomatas'!$C$80:$C$118</c:f>
            </c:strRef>
          </c:cat>
          <c:val>
            <c:numRef>
              <c:f>'metricas_redações_diplomatas'!$I$80:$I$118</c:f>
              <c:numCache/>
            </c:numRef>
          </c:val>
          <c:smooth val="1"/>
        </c:ser>
        <c:ser>
          <c:idx val="2"/>
          <c:order val="2"/>
          <c:tx>
            <c:v>rougeL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'metricas_redações_diplomatas'!$C$80:$C$118</c:f>
            </c:strRef>
          </c:cat>
          <c:val>
            <c:numRef>
              <c:f>'metricas_redações_diplomatas'!$J$80:$J$118</c:f>
              <c:numCache/>
            </c:numRef>
          </c:val>
          <c:smooth val="1"/>
        </c:ser>
        <c:ser>
          <c:idx val="3"/>
          <c:order val="3"/>
          <c:tx>
            <c:v>rougeLsum</c:v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'metricas_redações_diplomatas'!$C$80:$C$118</c:f>
            </c:strRef>
          </c:cat>
          <c:val>
            <c:numRef>
              <c:f>'metricas_redações_diplomatas'!$K$80:$K$118</c:f>
              <c:numCache/>
            </c:numRef>
          </c:val>
          <c:smooth val="1"/>
        </c:ser>
        <c:ser>
          <c:idx val="4"/>
          <c:order val="4"/>
          <c:tx>
            <c:v>rouge 1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'metricas_redações_diplomatas'!$C$80:$C$118</c:f>
            </c:strRef>
          </c:cat>
          <c:val>
            <c:numRef>
              <c:f>'metricas_redações_diplomatas'!$H$80:$H$118</c:f>
              <c:numCache/>
            </c:numRef>
          </c:val>
          <c:smooth val="1"/>
        </c:ser>
        <c:axId val="1999527799"/>
        <c:axId val="1388186789"/>
      </c:radarChart>
      <c:catAx>
        <c:axId val="1999527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8186789"/>
      </c:catAx>
      <c:valAx>
        <c:axId val="1388186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9527799"/>
      </c:valAx>
    </c:plotArea>
    <c:legend>
      <c:legendPos val="l"/>
      <c:overlay val="0"/>
      <c:txPr>
        <a:bodyPr/>
        <a:lstStyle/>
        <a:p>
          <a:pPr lvl="0">
            <a:defRPr b="0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LEONARDO MACIURA  - NOTA: 58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v>BERTSore_Precision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'metricas_redações_diplomatas'!$C$80:$C$118</c:f>
            </c:strRef>
          </c:cat>
          <c:val>
            <c:numRef>
              <c:f>'metricas_redações_diplomatas'!$E$80:$E$118</c:f>
              <c:numCache/>
            </c:numRef>
          </c:val>
          <c:smooth val="1"/>
        </c:ser>
        <c:ser>
          <c:idx val="1"/>
          <c:order val="1"/>
          <c:tx>
            <c:v>BERTScore_Recall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'metricas_redações_diplomatas'!$C$80:$C$118</c:f>
            </c:strRef>
          </c:cat>
          <c:val>
            <c:numRef>
              <c:f>'metricas_redações_diplomatas'!$F$80:$F$118</c:f>
              <c:numCache/>
            </c:numRef>
          </c:val>
          <c:smooth val="1"/>
        </c:ser>
        <c:ser>
          <c:idx val="2"/>
          <c:order val="2"/>
          <c:tx>
            <c:v>BERTScore_F1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'metricas_redações_diplomatas'!$C$80:$C$118</c:f>
            </c:strRef>
          </c:cat>
          <c:val>
            <c:numRef>
              <c:f>'metricas_redações_diplomatas'!$G$80:$G$118</c:f>
              <c:numCache/>
            </c:numRef>
          </c:val>
          <c:smooth val="1"/>
        </c:ser>
        <c:ser>
          <c:idx val="3"/>
          <c:order val="3"/>
          <c:tx>
            <c:v>-----</c:v>
          </c:tx>
          <c:spPr>
            <a:ln cmpd="sng">
              <a:solidFill>
                <a:srgbClr val="FFC000">
                  <a:alpha val="0"/>
                </a:srgbClr>
              </a:solidFill>
            </a:ln>
          </c:spPr>
          <c:marker>
            <c:symbol val="none"/>
          </c:marker>
          <c:cat>
            <c:strRef>
              <c:f>'metricas_redações_diplomatas'!$C$80:$C$118</c:f>
            </c:strRef>
          </c:cat>
          <c:val>
            <c:numRef>
              <c:f>'metricas_redações_diplomatas'!$H$80:$H$118</c:f>
              <c:numCache/>
            </c:numRef>
          </c:val>
          <c:smooth val="1"/>
        </c:ser>
        <c:ser>
          <c:idx val="4"/>
          <c:order val="4"/>
          <c:tx>
            <c:v>CTC_factual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'metricas_redações_diplomatas'!$C$80:$C$118</c:f>
            </c:strRef>
          </c:cat>
          <c:val>
            <c:numRef>
              <c:f>'metricas_redações_diplomatas'!$N$80:$N$118</c:f>
              <c:numCache/>
            </c:numRef>
          </c:val>
          <c:smooth val="1"/>
        </c:ser>
        <c:ser>
          <c:idx val="5"/>
          <c:order val="5"/>
          <c:tx>
            <c:v>CTC_factual_ref</c:v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'metricas_redações_diplomatas'!$C$80:$C$118</c:f>
            </c:strRef>
          </c:cat>
          <c:val>
            <c:numRef>
              <c:f>'metricas_redações_diplomatas'!$O$80:$O$118</c:f>
              <c:numCache/>
            </c:numRef>
          </c:val>
          <c:smooth val="1"/>
        </c:ser>
        <c:axId val="991625231"/>
        <c:axId val="683777965"/>
      </c:radarChart>
      <c:catAx>
        <c:axId val="991625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3777965"/>
      </c:catAx>
      <c:valAx>
        <c:axId val="6837779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1625231"/>
      </c:valAx>
    </c:plotArea>
    <c:legend>
      <c:legendPos val="l"/>
      <c:overlay val="0"/>
      <c:txPr>
        <a:bodyPr/>
        <a:lstStyle/>
        <a:p>
          <a:pPr lvl="0">
            <a:defRPr b="0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MATEUS DE ANDRADE  - NOTA: 56,7</a:t>
            </a:r>
          </a:p>
        </c:rich>
      </c:tx>
      <c:layout>
        <c:manualLayout>
          <c:xMode val="edge"/>
          <c:yMode val="edge"/>
          <c:x val="0.03514109347442681"/>
          <c:y val="0.049940334128878286"/>
        </c:manualLayout>
      </c:layout>
      <c:overlay val="0"/>
    </c:title>
    <c:plotArea>
      <c:layout/>
      <c:radarChart>
        <c:radarStyle val="marker"/>
        <c:ser>
          <c:idx val="0"/>
          <c:order val="0"/>
          <c:tx>
            <c:v>BLEU_score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'metricas_redações_diplomatas'!$C$119:$C$157</c:f>
            </c:strRef>
          </c:cat>
          <c:val>
            <c:numRef>
              <c:f>'metricas_redações_diplomatas'!$D$119:$D$157</c:f>
              <c:numCache/>
            </c:numRef>
          </c:val>
          <c:smooth val="1"/>
        </c:ser>
        <c:ser>
          <c:idx val="1"/>
          <c:order val="1"/>
          <c:tx>
            <c:v>rouge2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'metricas_redações_diplomatas'!$C$119:$C$157</c:f>
            </c:strRef>
          </c:cat>
          <c:val>
            <c:numRef>
              <c:f>'metricas_redações_diplomatas'!$I$119:$I$157</c:f>
              <c:numCache/>
            </c:numRef>
          </c:val>
          <c:smooth val="1"/>
        </c:ser>
        <c:ser>
          <c:idx val="2"/>
          <c:order val="2"/>
          <c:tx>
            <c:v>rougeL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'metricas_redações_diplomatas'!$C$119:$C$157</c:f>
            </c:strRef>
          </c:cat>
          <c:val>
            <c:numRef>
              <c:f>'metricas_redações_diplomatas'!$J$119:$J$157</c:f>
              <c:numCache/>
            </c:numRef>
          </c:val>
          <c:smooth val="1"/>
        </c:ser>
        <c:ser>
          <c:idx val="3"/>
          <c:order val="3"/>
          <c:tx>
            <c:v>rougeLsum</c:v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'metricas_redações_diplomatas'!$C$119:$C$157</c:f>
            </c:strRef>
          </c:cat>
          <c:val>
            <c:numRef>
              <c:f>'metricas_redações_diplomatas'!$K$119:$K$157</c:f>
              <c:numCache/>
            </c:numRef>
          </c:val>
          <c:smooth val="1"/>
        </c:ser>
        <c:ser>
          <c:idx val="4"/>
          <c:order val="4"/>
          <c:tx>
            <c:v>rouge1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'metricas_redações_diplomatas'!$C$119:$C$157</c:f>
            </c:strRef>
          </c:cat>
          <c:val>
            <c:numRef>
              <c:f>'metricas_redações_diplomatas'!$H$119:$H$157</c:f>
              <c:numCache/>
            </c:numRef>
          </c:val>
          <c:smooth val="1"/>
        </c:ser>
        <c:axId val="1234992065"/>
        <c:axId val="1045579626"/>
      </c:radarChart>
      <c:catAx>
        <c:axId val="1234992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5579626"/>
      </c:catAx>
      <c:valAx>
        <c:axId val="10455796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4992065"/>
      </c:valAx>
    </c:plotArea>
    <c:legend>
      <c:legendPos val="l"/>
      <c:overlay val="0"/>
      <c:txPr>
        <a:bodyPr/>
        <a:lstStyle/>
        <a:p>
          <a:pPr lvl="0">
            <a:defRPr b="0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MATEUS DE ANDRADE  - NOTA: 56,7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v>BERTSore_Precision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'metricas_redações_diplomatas'!$C$119:$C$157</c:f>
            </c:strRef>
          </c:cat>
          <c:val>
            <c:numRef>
              <c:f>'metricas_redações_diplomatas'!$E$119:$E$157</c:f>
              <c:numCache/>
            </c:numRef>
          </c:val>
          <c:smooth val="1"/>
        </c:ser>
        <c:ser>
          <c:idx val="1"/>
          <c:order val="1"/>
          <c:tx>
            <c:v>BERTScore_Recall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'metricas_redações_diplomatas'!$C$119:$C$157</c:f>
            </c:strRef>
          </c:cat>
          <c:val>
            <c:numRef>
              <c:f>'metricas_redações_diplomatas'!$F$119:$F$157</c:f>
              <c:numCache/>
            </c:numRef>
          </c:val>
          <c:smooth val="1"/>
        </c:ser>
        <c:ser>
          <c:idx val="2"/>
          <c:order val="2"/>
          <c:tx>
            <c:v>BERTScore_F1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'metricas_redações_diplomatas'!$C$119:$C$157</c:f>
            </c:strRef>
          </c:cat>
          <c:val>
            <c:numRef>
              <c:f>'metricas_redações_diplomatas'!$G$119:$G$157</c:f>
              <c:numCache/>
            </c:numRef>
          </c:val>
          <c:smooth val="1"/>
        </c:ser>
        <c:ser>
          <c:idx val="3"/>
          <c:order val="3"/>
          <c:tx>
            <c:v>----</c:v>
          </c:tx>
          <c:spPr>
            <a:ln cmpd="sng">
              <a:solidFill>
                <a:srgbClr val="FFC000">
                  <a:alpha val="0"/>
                </a:srgbClr>
              </a:solidFill>
            </a:ln>
          </c:spPr>
          <c:marker>
            <c:symbol val="none"/>
          </c:marker>
          <c:cat>
            <c:strRef>
              <c:f>'metricas_redações_diplomatas'!$C$119:$C$157</c:f>
            </c:strRef>
          </c:cat>
          <c:val>
            <c:numRef>
              <c:f>'metricas_redações_diplomatas'!$H$119:$H$157</c:f>
              <c:numCache/>
            </c:numRef>
          </c:val>
          <c:smooth val="1"/>
        </c:ser>
        <c:ser>
          <c:idx val="4"/>
          <c:order val="4"/>
          <c:tx>
            <c:v>CTC_factual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'metricas_redações_diplomatas'!$C$119:$C$157</c:f>
            </c:strRef>
          </c:cat>
          <c:val>
            <c:numRef>
              <c:f>'metricas_redações_diplomatas'!$N$119:$N$157</c:f>
              <c:numCache/>
            </c:numRef>
          </c:val>
          <c:smooth val="1"/>
        </c:ser>
        <c:ser>
          <c:idx val="5"/>
          <c:order val="5"/>
          <c:tx>
            <c:v>CTC_factual_ref</c:v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'metricas_redações_diplomatas'!$C$119:$C$157</c:f>
            </c:strRef>
          </c:cat>
          <c:val>
            <c:numRef>
              <c:f>'metricas_redações_diplomatas'!$O$119:$O$157</c:f>
              <c:numCache/>
            </c:numRef>
          </c:val>
          <c:smooth val="1"/>
        </c:ser>
        <c:axId val="439672063"/>
        <c:axId val="363586817"/>
      </c:radarChart>
      <c:catAx>
        <c:axId val="439672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3586817"/>
      </c:catAx>
      <c:valAx>
        <c:axId val="3635868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9672063"/>
      </c:valAx>
    </c:plotArea>
    <c:legend>
      <c:legendPos val="l"/>
      <c:overlay val="0"/>
      <c:txPr>
        <a:bodyPr/>
        <a:lstStyle/>
        <a:p>
          <a:pPr lvl="0">
            <a:defRPr b="0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PATRICIA CAMARGO  - NOTA: 54,7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v>BLEU_score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'metricas_redações_diplomatas'!$C$158:$C$196</c:f>
            </c:strRef>
          </c:cat>
          <c:val>
            <c:numRef>
              <c:f>'metricas_redações_diplomatas'!$D$158:$D$196</c:f>
              <c:numCache/>
            </c:numRef>
          </c:val>
          <c:smooth val="1"/>
        </c:ser>
        <c:ser>
          <c:idx val="1"/>
          <c:order val="1"/>
          <c:tx>
            <c:v>rouge2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'metricas_redações_diplomatas'!$C$158:$C$196</c:f>
            </c:strRef>
          </c:cat>
          <c:val>
            <c:numRef>
              <c:f>'metricas_redações_diplomatas'!$I$158:$I$196</c:f>
              <c:numCache/>
            </c:numRef>
          </c:val>
          <c:smooth val="1"/>
        </c:ser>
        <c:ser>
          <c:idx val="2"/>
          <c:order val="2"/>
          <c:tx>
            <c:v>rougeL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'metricas_redações_diplomatas'!$C$158:$C$196</c:f>
            </c:strRef>
          </c:cat>
          <c:val>
            <c:numRef>
              <c:f>'metricas_redações_diplomatas'!$J$158:$J$196</c:f>
              <c:numCache/>
            </c:numRef>
          </c:val>
          <c:smooth val="1"/>
        </c:ser>
        <c:ser>
          <c:idx val="3"/>
          <c:order val="3"/>
          <c:tx>
            <c:v>rougeLsum</c:v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'metricas_redações_diplomatas'!$C$158:$C$196</c:f>
            </c:strRef>
          </c:cat>
          <c:val>
            <c:numRef>
              <c:f>'metricas_redações_diplomatas'!$K$158:$K$196</c:f>
              <c:numCache/>
            </c:numRef>
          </c:val>
          <c:smooth val="1"/>
        </c:ser>
        <c:ser>
          <c:idx val="4"/>
          <c:order val="4"/>
          <c:tx>
            <c:v>rouge1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'metricas_redações_diplomatas'!$C$158:$C$196</c:f>
            </c:strRef>
          </c:cat>
          <c:val>
            <c:numRef>
              <c:f>'metricas_redações_diplomatas'!$H$158:$H$196</c:f>
              <c:numCache/>
            </c:numRef>
          </c:val>
          <c:smooth val="1"/>
        </c:ser>
        <c:axId val="523229086"/>
        <c:axId val="1905966614"/>
      </c:radarChart>
      <c:catAx>
        <c:axId val="523229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5966614"/>
      </c:catAx>
      <c:valAx>
        <c:axId val="19059666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3229086"/>
      </c:valAx>
    </c:plotArea>
    <c:legend>
      <c:legendPos val="l"/>
      <c:overlay val="0"/>
      <c:txPr>
        <a:bodyPr/>
        <a:lstStyle/>
        <a:p>
          <a:pPr lvl="0">
            <a:defRPr b="0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PATRICIA CAMARGO  - NOTA: 54,7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v>BERTSore_Precision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'metricas_redações_diplomatas'!$C$158:$C$196</c:f>
            </c:strRef>
          </c:cat>
          <c:val>
            <c:numRef>
              <c:f>'metricas_redações_diplomatas'!$E$158:$E$196</c:f>
              <c:numCache/>
            </c:numRef>
          </c:val>
          <c:smooth val="1"/>
        </c:ser>
        <c:ser>
          <c:idx val="1"/>
          <c:order val="1"/>
          <c:tx>
            <c:v>BERTScore_Recall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'metricas_redações_diplomatas'!$C$158:$C$196</c:f>
            </c:strRef>
          </c:cat>
          <c:val>
            <c:numRef>
              <c:f>'metricas_redações_diplomatas'!$F$158:$F$196</c:f>
              <c:numCache/>
            </c:numRef>
          </c:val>
          <c:smooth val="1"/>
        </c:ser>
        <c:ser>
          <c:idx val="2"/>
          <c:order val="2"/>
          <c:tx>
            <c:v>BERTScore_F1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'metricas_redações_diplomatas'!$C$158:$C$196</c:f>
            </c:strRef>
          </c:cat>
          <c:val>
            <c:numRef>
              <c:f>'metricas_redações_diplomatas'!$G$158:$G$196</c:f>
              <c:numCache/>
            </c:numRef>
          </c:val>
          <c:smooth val="1"/>
        </c:ser>
        <c:ser>
          <c:idx val="3"/>
          <c:order val="3"/>
          <c:tx>
            <c:v>----</c:v>
          </c:tx>
          <c:spPr>
            <a:ln cmpd="sng">
              <a:solidFill>
                <a:srgbClr val="FFC000">
                  <a:alpha val="0"/>
                </a:srgbClr>
              </a:solidFill>
            </a:ln>
          </c:spPr>
          <c:marker>
            <c:symbol val="none"/>
          </c:marker>
          <c:cat>
            <c:strRef>
              <c:f>'metricas_redações_diplomatas'!$C$158:$C$196</c:f>
            </c:strRef>
          </c:cat>
          <c:val>
            <c:numRef>
              <c:f>'metricas_redações_diplomatas'!$H$158:$H$196</c:f>
              <c:numCache/>
            </c:numRef>
          </c:val>
          <c:smooth val="1"/>
        </c:ser>
        <c:ser>
          <c:idx val="4"/>
          <c:order val="4"/>
          <c:tx>
            <c:v>CTC_factual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'metricas_redações_diplomatas'!$C$158:$C$196</c:f>
            </c:strRef>
          </c:cat>
          <c:val>
            <c:numRef>
              <c:f>'metricas_redações_diplomatas'!$N$158:$N$196</c:f>
              <c:numCache/>
            </c:numRef>
          </c:val>
          <c:smooth val="1"/>
        </c:ser>
        <c:ser>
          <c:idx val="5"/>
          <c:order val="5"/>
          <c:tx>
            <c:v>CTC_factual_ref</c:v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'metricas_redações_diplomatas'!$C$158:$C$196</c:f>
            </c:strRef>
          </c:cat>
          <c:val>
            <c:numRef>
              <c:f>'metricas_redações_diplomatas'!$O$158:$O$196</c:f>
              <c:numCache/>
            </c:numRef>
          </c:val>
          <c:smooth val="1"/>
        </c:ser>
        <c:axId val="1118326672"/>
        <c:axId val="1252730870"/>
      </c:radarChart>
      <c:catAx>
        <c:axId val="1118326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2730870"/>
      </c:catAx>
      <c:valAx>
        <c:axId val="1252730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8326672"/>
      </c:valAx>
    </c:plotArea>
    <c:legend>
      <c:legendPos val="l"/>
      <c:overlay val="0"/>
      <c:txPr>
        <a:bodyPr/>
        <a:lstStyle/>
        <a:p>
          <a:pPr lvl="0">
            <a:defRPr b="0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316184069447846"/>
          <c:y val="0.05790666720680812"/>
          <c:w val="0.5384220970419354"/>
          <c:h val="0.9026108904925251"/>
        </c:manualLayout>
      </c:layout>
      <c:radarChart>
        <c:radarStyle val="marker"/>
        <c:ser>
          <c:idx val="0"/>
          <c:order val="0"/>
          <c:tx>
            <c:strRef>
              <c:f>'gabmetricas_redações_diplomatas'!$D$1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'gabmetricas_redações_diplomatas'!$C$2:$C$241</c:f>
            </c:strRef>
          </c:cat>
          <c:val>
            <c:numRef>
              <c:f>'gabmetricas_redações_diplomatas'!$D$2:$D$241</c:f>
              <c:numCache/>
            </c:numRef>
          </c:val>
          <c:smooth val="1"/>
        </c:ser>
        <c:ser>
          <c:idx val="1"/>
          <c:order val="1"/>
          <c:tx>
            <c:strRef>
              <c:f>'gabmetricas_redações_diplomatas'!$I$1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'gabmetricas_redações_diplomatas'!$C$2:$C$241</c:f>
            </c:strRef>
          </c:cat>
          <c:val>
            <c:numRef>
              <c:f>'gabmetricas_redações_diplomatas'!$I$2:$I$241</c:f>
              <c:numCache/>
            </c:numRef>
          </c:val>
          <c:smooth val="1"/>
        </c:ser>
        <c:ser>
          <c:idx val="2"/>
          <c:order val="2"/>
          <c:tx>
            <c:strRef>
              <c:f>'gabmetricas_redações_diplomatas'!$J$1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'gabmetricas_redações_diplomatas'!$C$2:$C$241</c:f>
            </c:strRef>
          </c:cat>
          <c:val>
            <c:numRef>
              <c:f>'gabmetricas_redações_diplomatas'!$J$2:$J$241</c:f>
              <c:numCache/>
            </c:numRef>
          </c:val>
          <c:smooth val="1"/>
        </c:ser>
        <c:ser>
          <c:idx val="3"/>
          <c:order val="3"/>
          <c:tx>
            <c:strRef>
              <c:f>'gabmetricas_redações_diplomatas'!$K$1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'gabmetricas_redações_diplomatas'!$C$2:$C$241</c:f>
            </c:strRef>
          </c:cat>
          <c:val>
            <c:numRef>
              <c:f>'gabmetricas_redações_diplomatas'!$K$2:$K$241</c:f>
              <c:numCache/>
            </c:numRef>
          </c:val>
          <c:smooth val="1"/>
        </c:ser>
        <c:axId val="1904702735"/>
        <c:axId val="392643351"/>
      </c:radarChart>
      <c:catAx>
        <c:axId val="1904702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2643351"/>
      </c:catAx>
      <c:valAx>
        <c:axId val="3926433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4702735"/>
      </c:valAx>
    </c:plotArea>
    <c:legend>
      <c:legendPos val="t"/>
      <c:overlay val="0"/>
      <c:txPr>
        <a:bodyPr/>
        <a:lstStyle/>
        <a:p>
          <a:pPr lvl="0">
            <a:defRPr b="0" i="0" sz="5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3703062236784492"/>
          <c:y val="0.05243138782533828"/>
          <c:w val="0.5280878417967717"/>
          <c:h val="0.9126634368262636"/>
        </c:manualLayout>
      </c:layout>
      <c:radarChart>
        <c:radarStyle val="marker"/>
        <c:ser>
          <c:idx val="0"/>
          <c:order val="0"/>
          <c:tx>
            <c:strRef>
              <c:f>'gabmetricas_redações_diplomatas'!$E$1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'gabmetricas_redações_diplomatas'!$C$2:$C$241</c:f>
            </c:strRef>
          </c:cat>
          <c:val>
            <c:numRef>
              <c:f>'gabmetricas_redações_diplomatas'!$E$2:$E$241</c:f>
              <c:numCache/>
            </c:numRef>
          </c:val>
          <c:smooth val="1"/>
        </c:ser>
        <c:ser>
          <c:idx val="1"/>
          <c:order val="1"/>
          <c:tx>
            <c:strRef>
              <c:f>'gabmetricas_redações_diplomatas'!$F$1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'gabmetricas_redações_diplomatas'!$C$2:$C$241</c:f>
            </c:strRef>
          </c:cat>
          <c:val>
            <c:numRef>
              <c:f>'gabmetricas_redações_diplomatas'!$F$2:$F$241</c:f>
              <c:numCache/>
            </c:numRef>
          </c:val>
          <c:smooth val="1"/>
        </c:ser>
        <c:ser>
          <c:idx val="2"/>
          <c:order val="2"/>
          <c:tx>
            <c:strRef>
              <c:f>'gabmetricas_redações_diplomatas'!$G$1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'gabmetricas_redações_diplomatas'!$C$2:$C$241</c:f>
            </c:strRef>
          </c:cat>
          <c:val>
            <c:numRef>
              <c:f>'gabmetricas_redações_diplomatas'!$G$2:$G$241</c:f>
              <c:numCache/>
            </c:numRef>
          </c:val>
          <c:smooth val="1"/>
        </c:ser>
        <c:ser>
          <c:idx val="3"/>
          <c:order val="3"/>
          <c:tx>
            <c:strRef>
              <c:f>'gabmetricas_redações_diplomatas'!$H$1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'gabmetricas_redações_diplomatas'!$C$2:$C$241</c:f>
            </c:strRef>
          </c:cat>
          <c:val>
            <c:numRef>
              <c:f>'gabmetricas_redações_diplomatas'!$H$2:$H$241</c:f>
              <c:numCache/>
            </c:numRef>
          </c:val>
          <c:smooth val="1"/>
        </c:ser>
        <c:ser>
          <c:idx val="4"/>
          <c:order val="4"/>
          <c:tx>
            <c:strRef>
              <c:f>'gabmetricas_redações_diplomatas'!$N$1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'gabmetricas_redações_diplomatas'!$C$2:$C$241</c:f>
            </c:strRef>
          </c:cat>
          <c:val>
            <c:numRef>
              <c:f>'gabmetricas_redações_diplomatas'!$N$2:$N$241</c:f>
              <c:numCache/>
            </c:numRef>
          </c:val>
          <c:smooth val="1"/>
        </c:ser>
        <c:ser>
          <c:idx val="5"/>
          <c:order val="5"/>
          <c:tx>
            <c:strRef>
              <c:f>'gabmetricas_redações_diplomatas'!$O$1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'gabmetricas_redações_diplomatas'!$C$2:$C$241</c:f>
            </c:strRef>
          </c:cat>
          <c:val>
            <c:numRef>
              <c:f>'gabmetricas_redações_diplomatas'!$O$2:$O$241</c:f>
              <c:numCache/>
            </c:numRef>
          </c:val>
          <c:smooth val="1"/>
        </c:ser>
        <c:axId val="87086995"/>
        <c:axId val="1343845751"/>
      </c:radarChart>
      <c:catAx>
        <c:axId val="87086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3845751"/>
      </c:catAx>
      <c:valAx>
        <c:axId val="13438457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086995"/>
      </c:valAx>
    </c:plotArea>
    <c:legend>
      <c:legendPos val="t"/>
      <c:overlay val="0"/>
      <c:txPr>
        <a:bodyPr/>
        <a:lstStyle/>
        <a:p>
          <a:pPr lvl="0">
            <a:defRPr b="0" i="0" sz="500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GABRIEL JOAQUIM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v>BLEU_score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'gabmetricas_redações_diplomatas'!$C$41:$C$79</c:f>
            </c:strRef>
          </c:cat>
          <c:val>
            <c:numRef>
              <c:f>'gabmetricas_redações_diplomatas'!$D$41:$D$79</c:f>
              <c:numCache/>
            </c:numRef>
          </c:val>
          <c:smooth val="1"/>
        </c:ser>
        <c:ser>
          <c:idx val="1"/>
          <c:order val="1"/>
          <c:tx>
            <c:v>rouge2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'gabmetricas_redações_diplomatas'!$C$41:$C$79</c:f>
            </c:strRef>
          </c:cat>
          <c:val>
            <c:numRef>
              <c:f>'gabmetricas_redações_diplomatas'!$I$41:$I$79</c:f>
              <c:numCache/>
            </c:numRef>
          </c:val>
          <c:smooth val="1"/>
        </c:ser>
        <c:ser>
          <c:idx val="2"/>
          <c:order val="2"/>
          <c:tx>
            <c:v>rougeL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'gabmetricas_redações_diplomatas'!$C$41:$C$79</c:f>
            </c:strRef>
          </c:cat>
          <c:val>
            <c:numRef>
              <c:f>'gabmetricas_redações_diplomatas'!$J$41:$J$79</c:f>
              <c:numCache/>
            </c:numRef>
          </c:val>
          <c:smooth val="1"/>
        </c:ser>
        <c:ser>
          <c:idx val="3"/>
          <c:order val="3"/>
          <c:tx>
            <c:v>rougeLsum</c:v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'gabmetricas_redações_diplomatas'!$C$41:$C$79</c:f>
            </c:strRef>
          </c:cat>
          <c:val>
            <c:numRef>
              <c:f>'gabmetricas_redações_diplomatas'!$K$41:$K$79</c:f>
              <c:numCache/>
            </c:numRef>
          </c:val>
          <c:smooth val="1"/>
        </c:ser>
        <c:ser>
          <c:idx val="4"/>
          <c:order val="4"/>
          <c:tx>
            <c:v>rouge1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'gabmetricas_redações_diplomatas'!$C$41:$C$79</c:f>
            </c:strRef>
          </c:cat>
          <c:val>
            <c:numRef>
              <c:f>'gabmetricas_redações_diplomatas'!$H$41:$H$79</c:f>
              <c:numCache/>
            </c:numRef>
          </c:val>
          <c:smooth val="1"/>
        </c:ser>
        <c:axId val="908454786"/>
        <c:axId val="631520116"/>
      </c:radarChart>
      <c:catAx>
        <c:axId val="9084547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1520116"/>
      </c:catAx>
      <c:valAx>
        <c:axId val="6315201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8454786"/>
      </c:valAx>
    </c:plotArea>
    <c:legend>
      <c:legendPos val="l"/>
      <c:overlay val="0"/>
      <c:txPr>
        <a:bodyPr/>
        <a:lstStyle/>
        <a:p>
          <a:pPr lvl="0">
            <a:defRPr b="0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GABRIEL JOAQUIM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v>BERTSore_Precision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'gabmetricas_redações_diplomatas'!$C$41:$C$79</c:f>
            </c:strRef>
          </c:cat>
          <c:val>
            <c:numRef>
              <c:f>'gabmetricas_redações_diplomatas'!$E$41:$E$79</c:f>
              <c:numCache/>
            </c:numRef>
          </c:val>
          <c:smooth val="1"/>
        </c:ser>
        <c:ser>
          <c:idx val="1"/>
          <c:order val="1"/>
          <c:tx>
            <c:v>BERTScore_Recall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'gabmetricas_redações_diplomatas'!$C$41:$C$79</c:f>
            </c:strRef>
          </c:cat>
          <c:val>
            <c:numRef>
              <c:f>'gabmetricas_redações_diplomatas'!$F$41:$F$79</c:f>
              <c:numCache/>
            </c:numRef>
          </c:val>
          <c:smooth val="1"/>
        </c:ser>
        <c:ser>
          <c:idx val="2"/>
          <c:order val="2"/>
          <c:tx>
            <c:v>BERTScore_F1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'gabmetricas_redações_diplomatas'!$C$41:$C$79</c:f>
            </c:strRef>
          </c:cat>
          <c:val>
            <c:numRef>
              <c:f>'gabmetricas_redações_diplomatas'!$G$41:$G$79</c:f>
              <c:numCache/>
            </c:numRef>
          </c:val>
          <c:smooth val="1"/>
        </c:ser>
        <c:ser>
          <c:idx val="3"/>
          <c:order val="3"/>
          <c:tx>
            <c:v>----</c:v>
          </c:tx>
          <c:spPr>
            <a:ln cmpd="sng">
              <a:solidFill>
                <a:srgbClr val="FFC000">
                  <a:alpha val="0"/>
                </a:srgbClr>
              </a:solidFill>
            </a:ln>
          </c:spPr>
          <c:marker>
            <c:symbol val="none"/>
          </c:marker>
          <c:cat>
            <c:strRef>
              <c:f>'gabmetricas_redações_diplomatas'!$C$41:$C$79</c:f>
            </c:strRef>
          </c:cat>
          <c:val>
            <c:numRef>
              <c:f>'gabmetricas_redações_diplomatas'!$H$41:$H$79</c:f>
              <c:numCache/>
            </c:numRef>
          </c:val>
          <c:smooth val="1"/>
        </c:ser>
        <c:ser>
          <c:idx val="4"/>
          <c:order val="4"/>
          <c:tx>
            <c:v>CTC_factual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'gabmetricas_redações_diplomatas'!$C$41:$C$79</c:f>
            </c:strRef>
          </c:cat>
          <c:val>
            <c:numRef>
              <c:f>'gabmetricas_redações_diplomatas'!$N$41:$N$79</c:f>
              <c:numCache/>
            </c:numRef>
          </c:val>
          <c:smooth val="1"/>
        </c:ser>
        <c:ser>
          <c:idx val="5"/>
          <c:order val="5"/>
          <c:tx>
            <c:v>CTC_factual_ref</c:v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'gabmetricas_redações_diplomatas'!$C$41:$C$79</c:f>
            </c:strRef>
          </c:cat>
          <c:val>
            <c:numRef>
              <c:f>'gabmetricas_redações_diplomatas'!$O$41:$O$79</c:f>
              <c:numCache/>
            </c:numRef>
          </c:val>
          <c:smooth val="1"/>
        </c:ser>
        <c:axId val="1409483748"/>
        <c:axId val="1666561834"/>
      </c:radarChart>
      <c:catAx>
        <c:axId val="14094837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6561834"/>
      </c:catAx>
      <c:valAx>
        <c:axId val="1666561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9483748"/>
      </c:valAx>
    </c:plotArea>
    <c:legend>
      <c:legendPos val="l"/>
      <c:overlay val="0"/>
      <c:txPr>
        <a:bodyPr/>
        <a:lstStyle/>
        <a:p>
          <a:pPr lvl="0">
            <a:defRPr b="0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ANA LUIZA</a:t>
            </a:r>
          </a:p>
        </c:rich>
      </c:tx>
      <c:overlay val="0"/>
    </c:title>
    <c:plotArea>
      <c:layout>
        <c:manualLayout>
          <c:xMode val="edge"/>
          <c:yMode val="edge"/>
          <c:x val="0.18738977072310406"/>
          <c:y val="0.14994026284348866"/>
          <c:w val="0.7757054673721341"/>
          <c:h val="0.8000597371565114"/>
        </c:manualLayout>
      </c:layout>
      <c:radarChart>
        <c:radarStyle val="marker"/>
        <c:ser>
          <c:idx val="0"/>
          <c:order val="0"/>
          <c:tx>
            <c:v>BLEU_score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'gabmetricas_redações_diplomatas'!$C$2:$C$40</c:f>
            </c:strRef>
          </c:cat>
          <c:val>
            <c:numRef>
              <c:f>'gabmetricas_redações_diplomatas'!$D$2:$D$40</c:f>
              <c:numCache/>
            </c:numRef>
          </c:val>
          <c:smooth val="1"/>
        </c:ser>
        <c:ser>
          <c:idx val="1"/>
          <c:order val="1"/>
          <c:tx>
            <c:v>rouge2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'gabmetricas_redações_diplomatas'!$C$2:$C$40</c:f>
            </c:strRef>
          </c:cat>
          <c:val>
            <c:numRef>
              <c:f>'gabmetricas_redações_diplomatas'!$I$2:$I$40</c:f>
              <c:numCache/>
            </c:numRef>
          </c:val>
          <c:smooth val="1"/>
        </c:ser>
        <c:ser>
          <c:idx val="2"/>
          <c:order val="2"/>
          <c:tx>
            <c:v>rougeL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'gabmetricas_redações_diplomatas'!$C$2:$C$40</c:f>
            </c:strRef>
          </c:cat>
          <c:val>
            <c:numRef>
              <c:f>'gabmetricas_redações_diplomatas'!$J$2:$J$40</c:f>
              <c:numCache/>
            </c:numRef>
          </c:val>
          <c:smooth val="1"/>
        </c:ser>
        <c:ser>
          <c:idx val="3"/>
          <c:order val="3"/>
          <c:tx>
            <c:v>rougeLsum</c:v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'gabmetricas_redações_diplomatas'!$C$2:$C$40</c:f>
            </c:strRef>
          </c:cat>
          <c:val>
            <c:numRef>
              <c:f>'gabmetricas_redações_diplomatas'!$K$2:$K$40</c:f>
              <c:numCache/>
            </c:numRef>
          </c:val>
          <c:smooth val="1"/>
        </c:ser>
        <c:ser>
          <c:idx val="4"/>
          <c:order val="4"/>
          <c:tx>
            <c:strRef>
              <c:f>'gabmetricas_redações_diplomatas'!$H$1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'gabmetricas_redações_diplomatas'!$C$2:$C$40</c:f>
            </c:strRef>
          </c:cat>
          <c:val>
            <c:numRef>
              <c:f>'gabmetricas_redações_diplomatas'!$H$2:$H$40</c:f>
              <c:numCache/>
            </c:numRef>
          </c:val>
          <c:smooth val="1"/>
        </c:ser>
        <c:axId val="155579667"/>
        <c:axId val="2031274086"/>
      </c:radarChart>
      <c:catAx>
        <c:axId val="1555796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274086"/>
      </c:catAx>
      <c:valAx>
        <c:axId val="20312740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579667"/>
      </c:valAx>
    </c:plotArea>
    <c:legend>
      <c:legendPos val="l"/>
      <c:overlay val="0"/>
      <c:txPr>
        <a:bodyPr/>
        <a:lstStyle/>
        <a:p>
          <a:pPr lvl="0">
            <a:defRPr b="0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ANA LUIZA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v>BERTSore_Precision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'gabmetricas_redações_diplomatas'!$C$2:$C$40</c:f>
            </c:strRef>
          </c:cat>
          <c:val>
            <c:numRef>
              <c:f>'gabmetricas_redações_diplomatas'!$E$2:$E$40</c:f>
              <c:numCache/>
            </c:numRef>
          </c:val>
          <c:smooth val="1"/>
        </c:ser>
        <c:ser>
          <c:idx val="1"/>
          <c:order val="1"/>
          <c:tx>
            <c:v>BERTScore_Recall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'gabmetricas_redações_diplomatas'!$C$2:$C$40</c:f>
            </c:strRef>
          </c:cat>
          <c:val>
            <c:numRef>
              <c:f>'gabmetricas_redações_diplomatas'!$F$2:$F$40</c:f>
              <c:numCache/>
            </c:numRef>
          </c:val>
          <c:smooth val="1"/>
        </c:ser>
        <c:ser>
          <c:idx val="2"/>
          <c:order val="2"/>
          <c:tx>
            <c:v>BERTScore_F1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'gabmetricas_redações_diplomatas'!$C$2:$C$40</c:f>
            </c:strRef>
          </c:cat>
          <c:val>
            <c:numRef>
              <c:f>'gabmetricas_redações_diplomatas'!$G$2:$G$40</c:f>
              <c:numCache/>
            </c:numRef>
          </c:val>
          <c:smooth val="1"/>
        </c:ser>
        <c:ser>
          <c:idx val="3"/>
          <c:order val="3"/>
          <c:tx>
            <c:v>-----</c:v>
          </c:tx>
          <c:spPr>
            <a:ln cmpd="sng">
              <a:solidFill>
                <a:srgbClr val="FFC000">
                  <a:alpha val="0"/>
                </a:srgbClr>
              </a:solidFill>
            </a:ln>
          </c:spPr>
          <c:marker>
            <c:symbol val="none"/>
          </c:marker>
          <c:cat>
            <c:strRef>
              <c:f>'gabmetricas_redações_diplomatas'!$C$2:$C$40</c:f>
            </c:strRef>
          </c:cat>
          <c:val>
            <c:numRef>
              <c:f>'gabmetricas_redações_diplomatas'!$H$2:$H$40</c:f>
              <c:numCache/>
            </c:numRef>
          </c:val>
          <c:smooth val="1"/>
        </c:ser>
        <c:ser>
          <c:idx val="4"/>
          <c:order val="4"/>
          <c:tx>
            <c:v>CTC_factual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'gabmetricas_redações_diplomatas'!$C$2:$C$40</c:f>
            </c:strRef>
          </c:cat>
          <c:val>
            <c:numRef>
              <c:f>'gabmetricas_redações_diplomatas'!$N$2:$N$40</c:f>
              <c:numCache/>
            </c:numRef>
          </c:val>
          <c:smooth val="1"/>
        </c:ser>
        <c:ser>
          <c:idx val="5"/>
          <c:order val="5"/>
          <c:tx>
            <c:v>CTC_factual_ref</c:v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'gabmetricas_redações_diplomatas'!$C$2:$C$40</c:f>
            </c:strRef>
          </c:cat>
          <c:val>
            <c:numRef>
              <c:f>'gabmetricas_redações_diplomatas'!$O$2:$O$40</c:f>
              <c:numCache/>
            </c:numRef>
          </c:val>
          <c:smooth val="1"/>
        </c:ser>
        <c:axId val="1555859704"/>
        <c:axId val="812645154"/>
      </c:radarChart>
      <c:catAx>
        <c:axId val="1555859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2645154"/>
      </c:catAx>
      <c:valAx>
        <c:axId val="8126451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5859704"/>
      </c:valAx>
    </c:plotArea>
    <c:legend>
      <c:legendPos val="l"/>
      <c:overlay val="0"/>
      <c:txPr>
        <a:bodyPr/>
        <a:lstStyle/>
        <a:p>
          <a:pPr lvl="0">
            <a:defRPr b="0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PEDRO GUILHERME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v>BLEU_score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'gabmetricas_redações_diplomatas'!$C$197:$C$235</c:f>
            </c:strRef>
          </c:cat>
          <c:val>
            <c:numRef>
              <c:f>'gabmetricas_redações_diplomatas'!$D$197:$D$235</c:f>
              <c:numCache/>
            </c:numRef>
          </c:val>
          <c:smooth val="1"/>
        </c:ser>
        <c:ser>
          <c:idx val="1"/>
          <c:order val="1"/>
          <c:tx>
            <c:v>rouge2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'gabmetricas_redações_diplomatas'!$C$197:$C$235</c:f>
            </c:strRef>
          </c:cat>
          <c:val>
            <c:numRef>
              <c:f>'gabmetricas_redações_diplomatas'!$I$197:$I$235</c:f>
              <c:numCache/>
            </c:numRef>
          </c:val>
          <c:smooth val="1"/>
        </c:ser>
        <c:ser>
          <c:idx val="2"/>
          <c:order val="2"/>
          <c:tx>
            <c:v>rougeL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'gabmetricas_redações_diplomatas'!$C$197:$C$235</c:f>
            </c:strRef>
          </c:cat>
          <c:val>
            <c:numRef>
              <c:f>'gabmetricas_redações_diplomatas'!$J$197:$J$235</c:f>
              <c:numCache/>
            </c:numRef>
          </c:val>
          <c:smooth val="1"/>
        </c:ser>
        <c:ser>
          <c:idx val="3"/>
          <c:order val="3"/>
          <c:tx>
            <c:v>rougeLsum</c:v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'gabmetricas_redações_diplomatas'!$C$197:$C$235</c:f>
            </c:strRef>
          </c:cat>
          <c:val>
            <c:numRef>
              <c:f>'gabmetricas_redações_diplomatas'!$K$197:$K$235</c:f>
              <c:numCache/>
            </c:numRef>
          </c:val>
          <c:smooth val="1"/>
        </c:ser>
        <c:ser>
          <c:idx val="4"/>
          <c:order val="4"/>
          <c:tx>
            <c:v>rouge1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'gabmetricas_redações_diplomatas'!$C$197:$C$235</c:f>
            </c:strRef>
          </c:cat>
          <c:val>
            <c:numRef>
              <c:f>'gabmetricas_redações_diplomatas'!$H$197:$H$235</c:f>
              <c:numCache/>
            </c:numRef>
          </c:val>
          <c:smooth val="1"/>
        </c:ser>
        <c:axId val="750550835"/>
        <c:axId val="1025640444"/>
      </c:radarChart>
      <c:catAx>
        <c:axId val="7505508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5640444"/>
      </c:catAx>
      <c:valAx>
        <c:axId val="10256404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0550835"/>
      </c:valAx>
    </c:plotArea>
    <c:legend>
      <c:legendPos val="l"/>
      <c:overlay val="0"/>
      <c:txPr>
        <a:bodyPr/>
        <a:lstStyle/>
        <a:p>
          <a:pPr lvl="0">
            <a:defRPr b="0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PEDRO GUILHERME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v>BERTSore_Precision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'gabmetricas_redações_diplomatas'!$C$197:$C$235</c:f>
            </c:strRef>
          </c:cat>
          <c:val>
            <c:numRef>
              <c:f>'gabmetricas_redações_diplomatas'!$E$197:$E$235</c:f>
              <c:numCache/>
            </c:numRef>
          </c:val>
          <c:smooth val="1"/>
        </c:ser>
        <c:ser>
          <c:idx val="1"/>
          <c:order val="1"/>
          <c:tx>
            <c:v>BERTScore_Recall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'gabmetricas_redações_diplomatas'!$C$197:$C$235</c:f>
            </c:strRef>
          </c:cat>
          <c:val>
            <c:numRef>
              <c:f>'gabmetricas_redações_diplomatas'!$F$197:$F$235</c:f>
              <c:numCache/>
            </c:numRef>
          </c:val>
          <c:smooth val="1"/>
        </c:ser>
        <c:ser>
          <c:idx val="2"/>
          <c:order val="2"/>
          <c:tx>
            <c:v>BERTScore_F1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'gabmetricas_redações_diplomatas'!$C$197:$C$235</c:f>
            </c:strRef>
          </c:cat>
          <c:val>
            <c:numRef>
              <c:f>'gabmetricas_redações_diplomatas'!$G$197:$G$235</c:f>
              <c:numCache/>
            </c:numRef>
          </c:val>
          <c:smooth val="1"/>
        </c:ser>
        <c:ser>
          <c:idx val="3"/>
          <c:order val="3"/>
          <c:tx>
            <c:v>----</c:v>
          </c:tx>
          <c:spPr>
            <a:ln cmpd="sng">
              <a:solidFill>
                <a:srgbClr val="FFC000">
                  <a:alpha val="0"/>
                </a:srgbClr>
              </a:solidFill>
            </a:ln>
          </c:spPr>
          <c:marker>
            <c:symbol val="none"/>
          </c:marker>
          <c:cat>
            <c:strRef>
              <c:f>'gabmetricas_redações_diplomatas'!$C$197:$C$235</c:f>
            </c:strRef>
          </c:cat>
          <c:val>
            <c:numRef>
              <c:f>'gabmetricas_redações_diplomatas'!$H$197:$H$235</c:f>
              <c:numCache/>
            </c:numRef>
          </c:val>
          <c:smooth val="1"/>
        </c:ser>
        <c:ser>
          <c:idx val="4"/>
          <c:order val="4"/>
          <c:tx>
            <c:v>CTC_factual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'gabmetricas_redações_diplomatas'!$C$197:$C$235</c:f>
            </c:strRef>
          </c:cat>
          <c:val>
            <c:numRef>
              <c:f>'gabmetricas_redações_diplomatas'!$N$197:$N$235</c:f>
              <c:numCache/>
            </c:numRef>
          </c:val>
          <c:smooth val="1"/>
        </c:ser>
        <c:ser>
          <c:idx val="5"/>
          <c:order val="5"/>
          <c:tx>
            <c:v>CTC_factual_ref</c:v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'gabmetricas_redações_diplomatas'!$C$197:$C$235</c:f>
            </c:strRef>
          </c:cat>
          <c:val>
            <c:numRef>
              <c:f>'gabmetricas_redações_diplomatas'!$O$197:$O$235</c:f>
              <c:numCache/>
            </c:numRef>
          </c:val>
          <c:smooth val="1"/>
        </c:ser>
        <c:axId val="352825234"/>
        <c:axId val="1585001759"/>
      </c:radarChart>
      <c:catAx>
        <c:axId val="352825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5001759"/>
      </c:catAx>
      <c:valAx>
        <c:axId val="15850017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2825234"/>
      </c:valAx>
    </c:plotArea>
    <c:legend>
      <c:legendPos val="l"/>
      <c:overlay val="0"/>
      <c:txPr>
        <a:bodyPr/>
        <a:lstStyle/>
        <a:p>
          <a:pPr lvl="0">
            <a:defRPr b="0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LEONARDO MACIURA</a:t>
            </a:r>
          </a:p>
        </c:rich>
      </c:tx>
      <c:overlay val="0"/>
    </c:title>
    <c:plotArea>
      <c:layout>
        <c:manualLayout>
          <c:xMode val="edge"/>
          <c:yMode val="edge"/>
          <c:x val="0.18666902060878962"/>
          <c:y val="0.13440860215053763"/>
          <c:w val="0.7273521434123744"/>
          <c:h val="0.764041885776294"/>
        </c:manualLayout>
      </c:layout>
      <c:radarChart>
        <c:radarStyle val="marker"/>
        <c:ser>
          <c:idx val="0"/>
          <c:order val="0"/>
          <c:tx>
            <c:v>BLEU_score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'gabmetricas_redações_diplomatas'!$C$80:$C$118</c:f>
            </c:strRef>
          </c:cat>
          <c:val>
            <c:numRef>
              <c:f>'gabmetricas_redações_diplomatas'!$D$80:$D$118</c:f>
              <c:numCache/>
            </c:numRef>
          </c:val>
          <c:smooth val="1"/>
        </c:ser>
        <c:ser>
          <c:idx val="1"/>
          <c:order val="1"/>
          <c:tx>
            <c:v>rouge2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'gabmetricas_redações_diplomatas'!$C$80:$C$118</c:f>
            </c:strRef>
          </c:cat>
          <c:val>
            <c:numRef>
              <c:f>'gabmetricas_redações_diplomatas'!$I$80:$I$118</c:f>
              <c:numCache/>
            </c:numRef>
          </c:val>
          <c:smooth val="1"/>
        </c:ser>
        <c:ser>
          <c:idx val="2"/>
          <c:order val="2"/>
          <c:tx>
            <c:v>rougeL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'gabmetricas_redações_diplomatas'!$C$80:$C$118</c:f>
            </c:strRef>
          </c:cat>
          <c:val>
            <c:numRef>
              <c:f>'gabmetricas_redações_diplomatas'!$J$80:$J$118</c:f>
              <c:numCache/>
            </c:numRef>
          </c:val>
          <c:smooth val="1"/>
        </c:ser>
        <c:ser>
          <c:idx val="3"/>
          <c:order val="3"/>
          <c:tx>
            <c:v>rougeLsum</c:v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'gabmetricas_redações_diplomatas'!$C$80:$C$118</c:f>
            </c:strRef>
          </c:cat>
          <c:val>
            <c:numRef>
              <c:f>'gabmetricas_redações_diplomatas'!$K$80:$K$118</c:f>
              <c:numCache/>
            </c:numRef>
          </c:val>
          <c:smooth val="1"/>
        </c:ser>
        <c:ser>
          <c:idx val="4"/>
          <c:order val="4"/>
          <c:tx>
            <c:v>rouge 1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'gabmetricas_redações_diplomatas'!$C$80:$C$118</c:f>
            </c:strRef>
          </c:cat>
          <c:val>
            <c:numRef>
              <c:f>'gabmetricas_redações_diplomatas'!$H$80:$H$118</c:f>
              <c:numCache/>
            </c:numRef>
          </c:val>
          <c:smooth val="1"/>
        </c:ser>
        <c:axId val="98010271"/>
        <c:axId val="2121837404"/>
      </c:radarChart>
      <c:catAx>
        <c:axId val="98010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1837404"/>
      </c:catAx>
      <c:valAx>
        <c:axId val="21218374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010271"/>
      </c:valAx>
    </c:plotArea>
    <c:legend>
      <c:legendPos val="l"/>
      <c:overlay val="0"/>
      <c:txPr>
        <a:bodyPr/>
        <a:lstStyle/>
        <a:p>
          <a:pPr lvl="0">
            <a:defRPr b="0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LEONARDO MACIURA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v>BERTSore_Precision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'gabmetricas_redações_diplomatas'!$C$80:$C$118</c:f>
            </c:strRef>
          </c:cat>
          <c:val>
            <c:numRef>
              <c:f>'gabmetricas_redações_diplomatas'!$E$80:$E$118</c:f>
              <c:numCache/>
            </c:numRef>
          </c:val>
          <c:smooth val="1"/>
        </c:ser>
        <c:ser>
          <c:idx val="1"/>
          <c:order val="1"/>
          <c:tx>
            <c:v>BERTScore_Recall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'gabmetricas_redações_diplomatas'!$C$80:$C$118</c:f>
            </c:strRef>
          </c:cat>
          <c:val>
            <c:numRef>
              <c:f>'gabmetricas_redações_diplomatas'!$F$80:$F$118</c:f>
              <c:numCache/>
            </c:numRef>
          </c:val>
          <c:smooth val="1"/>
        </c:ser>
        <c:ser>
          <c:idx val="2"/>
          <c:order val="2"/>
          <c:tx>
            <c:v>BERTScore_F1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'gabmetricas_redações_diplomatas'!$C$80:$C$118</c:f>
            </c:strRef>
          </c:cat>
          <c:val>
            <c:numRef>
              <c:f>'gabmetricas_redações_diplomatas'!$G$80:$G$118</c:f>
              <c:numCache/>
            </c:numRef>
          </c:val>
          <c:smooth val="1"/>
        </c:ser>
        <c:ser>
          <c:idx val="3"/>
          <c:order val="3"/>
          <c:tx>
            <c:v>-----</c:v>
          </c:tx>
          <c:spPr>
            <a:ln cmpd="sng">
              <a:solidFill>
                <a:srgbClr val="FFC000">
                  <a:alpha val="0"/>
                </a:srgbClr>
              </a:solidFill>
            </a:ln>
          </c:spPr>
          <c:marker>
            <c:symbol val="none"/>
          </c:marker>
          <c:cat>
            <c:strRef>
              <c:f>'gabmetricas_redações_diplomatas'!$C$80:$C$118</c:f>
            </c:strRef>
          </c:cat>
          <c:val>
            <c:numRef>
              <c:f>'gabmetricas_redações_diplomatas'!$H$80:$H$118</c:f>
              <c:numCache/>
            </c:numRef>
          </c:val>
          <c:smooth val="1"/>
        </c:ser>
        <c:ser>
          <c:idx val="4"/>
          <c:order val="4"/>
          <c:tx>
            <c:v>CTC_factual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'gabmetricas_redações_diplomatas'!$C$80:$C$118</c:f>
            </c:strRef>
          </c:cat>
          <c:val>
            <c:numRef>
              <c:f>'gabmetricas_redações_diplomatas'!$N$80:$N$118</c:f>
              <c:numCache/>
            </c:numRef>
          </c:val>
          <c:smooth val="1"/>
        </c:ser>
        <c:ser>
          <c:idx val="5"/>
          <c:order val="5"/>
          <c:tx>
            <c:v>CTC_factual_ref</c:v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'gabmetricas_redações_diplomatas'!$C$80:$C$118</c:f>
            </c:strRef>
          </c:cat>
          <c:val>
            <c:numRef>
              <c:f>'gabmetricas_redações_diplomatas'!$O$80:$O$118</c:f>
              <c:numCache/>
            </c:numRef>
          </c:val>
          <c:smooth val="1"/>
        </c:ser>
        <c:axId val="1262884324"/>
        <c:axId val="673899084"/>
      </c:radarChart>
      <c:catAx>
        <c:axId val="12628843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3899084"/>
      </c:catAx>
      <c:valAx>
        <c:axId val="6738990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2884324"/>
      </c:valAx>
    </c:plotArea>
    <c:legend>
      <c:legendPos val="l"/>
      <c:overlay val="0"/>
      <c:txPr>
        <a:bodyPr/>
        <a:lstStyle/>
        <a:p>
          <a:pPr lvl="0">
            <a:defRPr b="0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MATEUS DE ANDRADE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v>BLEU_score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'gabmetricas_redações_diplomatas'!$C$119:$C$157</c:f>
            </c:strRef>
          </c:cat>
          <c:val>
            <c:numRef>
              <c:f>'gabmetricas_redações_diplomatas'!$D$119:$D$157</c:f>
              <c:numCache/>
            </c:numRef>
          </c:val>
          <c:smooth val="1"/>
        </c:ser>
        <c:ser>
          <c:idx val="1"/>
          <c:order val="1"/>
          <c:tx>
            <c:v>rouge2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'gabmetricas_redações_diplomatas'!$C$119:$C$157</c:f>
            </c:strRef>
          </c:cat>
          <c:val>
            <c:numRef>
              <c:f>'gabmetricas_redações_diplomatas'!$I$119:$I$157</c:f>
              <c:numCache/>
            </c:numRef>
          </c:val>
          <c:smooth val="1"/>
        </c:ser>
        <c:ser>
          <c:idx val="2"/>
          <c:order val="2"/>
          <c:tx>
            <c:v>rougeL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'gabmetricas_redações_diplomatas'!$C$119:$C$157</c:f>
            </c:strRef>
          </c:cat>
          <c:val>
            <c:numRef>
              <c:f>'gabmetricas_redações_diplomatas'!$J$119:$J$157</c:f>
              <c:numCache/>
            </c:numRef>
          </c:val>
          <c:smooth val="1"/>
        </c:ser>
        <c:ser>
          <c:idx val="3"/>
          <c:order val="3"/>
          <c:tx>
            <c:v>rougeLsum</c:v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'gabmetricas_redações_diplomatas'!$C$119:$C$157</c:f>
            </c:strRef>
          </c:cat>
          <c:val>
            <c:numRef>
              <c:f>'gabmetricas_redações_diplomatas'!$K$119:$K$157</c:f>
              <c:numCache/>
            </c:numRef>
          </c:val>
          <c:smooth val="1"/>
        </c:ser>
        <c:ser>
          <c:idx val="4"/>
          <c:order val="4"/>
          <c:tx>
            <c:v>rouge1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'gabmetricas_redações_diplomatas'!$C$119:$C$157</c:f>
            </c:strRef>
          </c:cat>
          <c:val>
            <c:numRef>
              <c:f>'gabmetricas_redações_diplomatas'!$H$119:$H$157</c:f>
              <c:numCache/>
            </c:numRef>
          </c:val>
          <c:smooth val="1"/>
        </c:ser>
        <c:axId val="1956549725"/>
        <c:axId val="1076955989"/>
      </c:radarChart>
      <c:catAx>
        <c:axId val="1956549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6955989"/>
      </c:catAx>
      <c:valAx>
        <c:axId val="10769559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6549725"/>
      </c:valAx>
    </c:plotArea>
    <c:legend>
      <c:legendPos val="l"/>
      <c:overlay val="0"/>
      <c:txPr>
        <a:bodyPr/>
        <a:lstStyle/>
        <a:p>
          <a:pPr lvl="0">
            <a:defRPr b="0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MATEUS DE ANDRADE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v>BERTSore_Precision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'gabmetricas_redações_diplomatas'!$C$119:$C$157</c:f>
            </c:strRef>
          </c:cat>
          <c:val>
            <c:numRef>
              <c:f>'gabmetricas_redações_diplomatas'!$E$119:$E$157</c:f>
              <c:numCache/>
            </c:numRef>
          </c:val>
          <c:smooth val="1"/>
        </c:ser>
        <c:ser>
          <c:idx val="1"/>
          <c:order val="1"/>
          <c:tx>
            <c:v>BERTScore_Recall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'gabmetricas_redações_diplomatas'!$C$119:$C$157</c:f>
            </c:strRef>
          </c:cat>
          <c:val>
            <c:numRef>
              <c:f>'gabmetricas_redações_diplomatas'!$F$119:$F$157</c:f>
              <c:numCache/>
            </c:numRef>
          </c:val>
          <c:smooth val="1"/>
        </c:ser>
        <c:ser>
          <c:idx val="2"/>
          <c:order val="2"/>
          <c:tx>
            <c:v>BERTScore_F1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'gabmetricas_redações_diplomatas'!$C$119:$C$157</c:f>
            </c:strRef>
          </c:cat>
          <c:val>
            <c:numRef>
              <c:f>'gabmetricas_redações_diplomatas'!$G$119:$G$157</c:f>
              <c:numCache/>
            </c:numRef>
          </c:val>
          <c:smooth val="1"/>
        </c:ser>
        <c:ser>
          <c:idx val="3"/>
          <c:order val="3"/>
          <c:tx>
            <c:v>----</c:v>
          </c:tx>
          <c:spPr>
            <a:ln cmpd="sng">
              <a:solidFill>
                <a:srgbClr val="FFC000">
                  <a:alpha val="0"/>
                </a:srgbClr>
              </a:solidFill>
            </a:ln>
          </c:spPr>
          <c:marker>
            <c:symbol val="none"/>
          </c:marker>
          <c:cat>
            <c:strRef>
              <c:f>'gabmetricas_redações_diplomatas'!$C$119:$C$157</c:f>
            </c:strRef>
          </c:cat>
          <c:val>
            <c:numRef>
              <c:f>'gabmetricas_redações_diplomatas'!$H$119:$H$157</c:f>
              <c:numCache/>
            </c:numRef>
          </c:val>
          <c:smooth val="1"/>
        </c:ser>
        <c:ser>
          <c:idx val="4"/>
          <c:order val="4"/>
          <c:tx>
            <c:v>CTC_factual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'gabmetricas_redações_diplomatas'!$C$119:$C$157</c:f>
            </c:strRef>
          </c:cat>
          <c:val>
            <c:numRef>
              <c:f>'gabmetricas_redações_diplomatas'!$N$119:$N$157</c:f>
              <c:numCache/>
            </c:numRef>
          </c:val>
          <c:smooth val="1"/>
        </c:ser>
        <c:ser>
          <c:idx val="5"/>
          <c:order val="5"/>
          <c:tx>
            <c:v>CTC_factual_ref</c:v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'gabmetricas_redações_diplomatas'!$C$119:$C$157</c:f>
            </c:strRef>
          </c:cat>
          <c:val>
            <c:numRef>
              <c:f>'gabmetricas_redações_diplomatas'!$O$119:$O$157</c:f>
              <c:numCache/>
            </c:numRef>
          </c:val>
          <c:smooth val="1"/>
        </c:ser>
        <c:axId val="587463459"/>
        <c:axId val="263512096"/>
      </c:radarChart>
      <c:catAx>
        <c:axId val="587463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3512096"/>
      </c:catAx>
      <c:valAx>
        <c:axId val="263512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7463459"/>
      </c:valAx>
    </c:plotArea>
    <c:legend>
      <c:legendPos val="l"/>
      <c:overlay val="0"/>
      <c:txPr>
        <a:bodyPr/>
        <a:lstStyle/>
        <a:p>
          <a:pPr lvl="0">
            <a:defRPr b="0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PATRICIA CAMARGO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v>BLEU_score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'gabmetricas_redações_diplomatas'!$C$158:$C$196</c:f>
            </c:strRef>
          </c:cat>
          <c:val>
            <c:numRef>
              <c:f>'gabmetricas_redações_diplomatas'!$D$158:$D$196</c:f>
              <c:numCache/>
            </c:numRef>
          </c:val>
          <c:smooth val="1"/>
        </c:ser>
        <c:ser>
          <c:idx val="1"/>
          <c:order val="1"/>
          <c:tx>
            <c:v>rouge2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'gabmetricas_redações_diplomatas'!$C$158:$C$196</c:f>
            </c:strRef>
          </c:cat>
          <c:val>
            <c:numRef>
              <c:f>'gabmetricas_redações_diplomatas'!$I$158:$I$196</c:f>
              <c:numCache/>
            </c:numRef>
          </c:val>
          <c:smooth val="1"/>
        </c:ser>
        <c:ser>
          <c:idx val="2"/>
          <c:order val="2"/>
          <c:tx>
            <c:v>rougeL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'gabmetricas_redações_diplomatas'!$C$158:$C$196</c:f>
            </c:strRef>
          </c:cat>
          <c:val>
            <c:numRef>
              <c:f>'gabmetricas_redações_diplomatas'!$J$158:$J$196</c:f>
              <c:numCache/>
            </c:numRef>
          </c:val>
          <c:smooth val="1"/>
        </c:ser>
        <c:ser>
          <c:idx val="3"/>
          <c:order val="3"/>
          <c:tx>
            <c:v>rougeLsum</c:v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'gabmetricas_redações_diplomatas'!$C$158:$C$196</c:f>
            </c:strRef>
          </c:cat>
          <c:val>
            <c:numRef>
              <c:f>'gabmetricas_redações_diplomatas'!$K$158:$K$196</c:f>
              <c:numCache/>
            </c:numRef>
          </c:val>
          <c:smooth val="1"/>
        </c:ser>
        <c:ser>
          <c:idx val="4"/>
          <c:order val="4"/>
          <c:tx>
            <c:v>rouge1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'gabmetricas_redações_diplomatas'!$C$158:$C$196</c:f>
            </c:strRef>
          </c:cat>
          <c:val>
            <c:numRef>
              <c:f>'gabmetricas_redações_diplomatas'!$H$158:$H$196</c:f>
              <c:numCache/>
            </c:numRef>
          </c:val>
          <c:smooth val="1"/>
        </c:ser>
        <c:axId val="635617007"/>
        <c:axId val="1300445626"/>
      </c:radarChart>
      <c:catAx>
        <c:axId val="635617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0445626"/>
      </c:catAx>
      <c:valAx>
        <c:axId val="13004456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5617007"/>
      </c:valAx>
    </c:plotArea>
    <c:legend>
      <c:legendPos val="l"/>
      <c:overlay val="0"/>
      <c:txPr>
        <a:bodyPr/>
        <a:lstStyle/>
        <a:p>
          <a:pPr lvl="0">
            <a:defRPr b="0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PATRICIA CAMARGO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v>BERTSore_Precision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'gabmetricas_redações_diplomatas'!$C$158:$C$196</c:f>
            </c:strRef>
          </c:cat>
          <c:val>
            <c:numRef>
              <c:f>'gabmetricas_redações_diplomatas'!$E$158:$E$196</c:f>
              <c:numCache/>
            </c:numRef>
          </c:val>
          <c:smooth val="1"/>
        </c:ser>
        <c:ser>
          <c:idx val="1"/>
          <c:order val="1"/>
          <c:tx>
            <c:v>BERTScore_Recall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'gabmetricas_redações_diplomatas'!$C$158:$C$196</c:f>
            </c:strRef>
          </c:cat>
          <c:val>
            <c:numRef>
              <c:f>'gabmetricas_redações_diplomatas'!$F$158:$F$196</c:f>
              <c:numCache/>
            </c:numRef>
          </c:val>
          <c:smooth val="1"/>
        </c:ser>
        <c:ser>
          <c:idx val="2"/>
          <c:order val="2"/>
          <c:tx>
            <c:v>BERTScore_F1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'gabmetricas_redações_diplomatas'!$C$158:$C$196</c:f>
            </c:strRef>
          </c:cat>
          <c:val>
            <c:numRef>
              <c:f>'gabmetricas_redações_diplomatas'!$G$158:$G$196</c:f>
              <c:numCache/>
            </c:numRef>
          </c:val>
          <c:smooth val="1"/>
        </c:ser>
        <c:ser>
          <c:idx val="3"/>
          <c:order val="3"/>
          <c:tx>
            <c:v>----</c:v>
          </c:tx>
          <c:spPr>
            <a:ln cmpd="sng">
              <a:solidFill>
                <a:srgbClr val="FFC000">
                  <a:alpha val="0"/>
                </a:srgbClr>
              </a:solidFill>
            </a:ln>
          </c:spPr>
          <c:marker>
            <c:symbol val="none"/>
          </c:marker>
          <c:cat>
            <c:strRef>
              <c:f>'gabmetricas_redações_diplomatas'!$C$158:$C$196</c:f>
            </c:strRef>
          </c:cat>
          <c:val>
            <c:numRef>
              <c:f>'gabmetricas_redações_diplomatas'!$H$158:$H$196</c:f>
              <c:numCache/>
            </c:numRef>
          </c:val>
          <c:smooth val="1"/>
        </c:ser>
        <c:ser>
          <c:idx val="4"/>
          <c:order val="4"/>
          <c:tx>
            <c:v>CTC_factual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'gabmetricas_redações_diplomatas'!$C$158:$C$196</c:f>
            </c:strRef>
          </c:cat>
          <c:val>
            <c:numRef>
              <c:f>'gabmetricas_redações_diplomatas'!$N$158:$N$196</c:f>
              <c:numCache/>
            </c:numRef>
          </c:val>
          <c:smooth val="1"/>
        </c:ser>
        <c:ser>
          <c:idx val="5"/>
          <c:order val="5"/>
          <c:tx>
            <c:v>CTC_factual_ref</c:v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'gabmetricas_redações_diplomatas'!$C$158:$C$196</c:f>
            </c:strRef>
          </c:cat>
          <c:val>
            <c:numRef>
              <c:f>'gabmetricas_redações_diplomatas'!$O$158:$O$196</c:f>
              <c:numCache/>
            </c:numRef>
          </c:val>
          <c:smooth val="1"/>
        </c:ser>
        <c:axId val="1920367427"/>
        <c:axId val="1639760253"/>
      </c:radarChart>
      <c:catAx>
        <c:axId val="1920367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9760253"/>
      </c:catAx>
      <c:valAx>
        <c:axId val="16397602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0367427"/>
      </c:valAx>
    </c:plotArea>
    <c:legend>
      <c:legendPos val="l"/>
      <c:overlay val="0"/>
      <c:txPr>
        <a:bodyPr/>
        <a:lstStyle/>
        <a:p>
          <a:pPr lvl="0">
            <a:defRPr b="0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tx>
            <c:strRef>
              <c:f>metricas_media!$R$2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metricas_media!$Q$3:$Q$41</c:f>
            </c:strRef>
          </c:cat>
          <c:val>
            <c:numRef>
              <c:f>metricas_media!$R$3:$R$41</c:f>
              <c:numCache/>
            </c:numRef>
          </c:val>
          <c:smooth val="1"/>
        </c:ser>
        <c:ser>
          <c:idx val="1"/>
          <c:order val="1"/>
          <c:tx>
            <c:strRef>
              <c:f>metricas_media!$W$2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metricas_media!$Q$3:$Q$41</c:f>
            </c:strRef>
          </c:cat>
          <c:val>
            <c:numRef>
              <c:f>metricas_media!$W$3:$W$41</c:f>
              <c:numCache/>
            </c:numRef>
          </c:val>
          <c:smooth val="1"/>
        </c:ser>
        <c:ser>
          <c:idx val="2"/>
          <c:order val="2"/>
          <c:tx>
            <c:strRef>
              <c:f>metricas_media!$X$2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metricas_media!$Q$3:$Q$41</c:f>
            </c:strRef>
          </c:cat>
          <c:val>
            <c:numRef>
              <c:f>metricas_media!$X$3:$X$41</c:f>
              <c:numCache/>
            </c:numRef>
          </c:val>
          <c:smooth val="1"/>
        </c:ser>
        <c:ser>
          <c:idx val="3"/>
          <c:order val="3"/>
          <c:tx>
            <c:strRef>
              <c:f>metricas_media!$Y$2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metricas_media!$Q$3:$Q$41</c:f>
            </c:strRef>
          </c:cat>
          <c:val>
            <c:numRef>
              <c:f>metricas_media!$Y$3:$Y$41</c:f>
              <c:numCache/>
            </c:numRef>
          </c:val>
          <c:smooth val="1"/>
        </c:ser>
        <c:ser>
          <c:idx val="4"/>
          <c:order val="4"/>
          <c:tx>
            <c:strRef>
              <c:f>metricas_media!$V$2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metricas_media!$Q$3:$Q$41</c:f>
            </c:strRef>
          </c:cat>
          <c:val>
            <c:numRef>
              <c:f>metricas_media!$V$3:$V$41</c:f>
              <c:numCache/>
            </c:numRef>
          </c:val>
          <c:smooth val="1"/>
        </c:ser>
        <c:axId val="1008339785"/>
        <c:axId val="1833439307"/>
      </c:radarChart>
      <c:catAx>
        <c:axId val="1008339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3439307"/>
      </c:catAx>
      <c:valAx>
        <c:axId val="18334393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8339785"/>
      </c:valAx>
    </c:plotArea>
    <c:legend>
      <c:legendPos val="l"/>
      <c:overlay val="0"/>
      <c:txPr>
        <a:bodyPr/>
        <a:lstStyle/>
        <a:p>
          <a:pPr lvl="0">
            <a:defRPr b="0" i="0" sz="2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tx>
            <c:strRef>
              <c:f>metricas_media!$S$2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metricas_media!$Q$3:$Q$41</c:f>
            </c:strRef>
          </c:cat>
          <c:val>
            <c:numRef>
              <c:f>metricas_media!$S$3:$S$41</c:f>
              <c:numCache/>
            </c:numRef>
          </c:val>
          <c:smooth val="1"/>
        </c:ser>
        <c:ser>
          <c:idx val="1"/>
          <c:order val="1"/>
          <c:tx>
            <c:strRef>
              <c:f>metricas_media!$T$2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metricas_media!$Q$3:$Q$41</c:f>
            </c:strRef>
          </c:cat>
          <c:val>
            <c:numRef>
              <c:f>metricas_media!$T$3:$T$41</c:f>
              <c:numCache/>
            </c:numRef>
          </c:val>
          <c:smooth val="1"/>
        </c:ser>
        <c:ser>
          <c:idx val="2"/>
          <c:order val="2"/>
          <c:tx>
            <c:strRef>
              <c:f>metricas_media!$U$2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metricas_media!$Q$3:$Q$41</c:f>
            </c:strRef>
          </c:cat>
          <c:val>
            <c:numRef>
              <c:f>metricas_media!$U$3:$U$41</c:f>
              <c:numCache/>
            </c:numRef>
          </c:val>
          <c:smooth val="1"/>
        </c:ser>
        <c:ser>
          <c:idx val="3"/>
          <c:order val="3"/>
          <c:tx>
            <c:strRef>
              <c:f>metricas_media!$Z$2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metricas_media!$Q$3:$Q$41</c:f>
            </c:strRef>
          </c:cat>
          <c:val>
            <c:numRef>
              <c:f>metricas_media!$Z$3:$Z$41</c:f>
              <c:numCache/>
            </c:numRef>
          </c:val>
          <c:smooth val="1"/>
        </c:ser>
        <c:ser>
          <c:idx val="4"/>
          <c:order val="4"/>
          <c:tx>
            <c:strRef>
              <c:f>metricas_media!$AA$2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metricas_media!$Q$3:$Q$41</c:f>
            </c:strRef>
          </c:cat>
          <c:val>
            <c:numRef>
              <c:f>metricas_media!$AA$3:$AA$41</c:f>
              <c:numCache/>
            </c:numRef>
          </c:val>
          <c:smooth val="1"/>
        </c:ser>
        <c:axId val="1639874183"/>
        <c:axId val="1158716362"/>
      </c:radarChart>
      <c:catAx>
        <c:axId val="1639874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8716362"/>
      </c:catAx>
      <c:valAx>
        <c:axId val="1158716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9874183"/>
      </c:valAx>
    </c:plotArea>
    <c:legend>
      <c:legendPos val="l"/>
      <c:overlay val="0"/>
      <c:txPr>
        <a:bodyPr/>
        <a:lstStyle/>
        <a:p>
          <a:pPr lvl="0">
            <a:defRPr b="0" i="0" sz="2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5.xml"/><Relationship Id="rId10" Type="http://schemas.openxmlformats.org/officeDocument/2006/relationships/chart" Target="../charts/chart24.xml"/><Relationship Id="rId13" Type="http://schemas.openxmlformats.org/officeDocument/2006/relationships/chart" Target="../charts/chart27.xml"/><Relationship Id="rId12" Type="http://schemas.openxmlformats.org/officeDocument/2006/relationships/chart" Target="../charts/chart26.xml"/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Relationship Id="rId14" Type="http://schemas.openxmlformats.org/officeDocument/2006/relationships/chart" Target="../charts/chart28.xml"/><Relationship Id="rId5" Type="http://schemas.openxmlformats.org/officeDocument/2006/relationships/chart" Target="../charts/chart19.xml"/><Relationship Id="rId6" Type="http://schemas.openxmlformats.org/officeDocument/2006/relationships/chart" Target="../charts/chart20.xml"/><Relationship Id="rId7" Type="http://schemas.openxmlformats.org/officeDocument/2006/relationships/chart" Target="../charts/chart21.xml"/><Relationship Id="rId8" Type="http://schemas.openxmlformats.org/officeDocument/2006/relationships/chart" Target="../charts/chart2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235</xdr:row>
      <xdr:rowOff>38100</xdr:rowOff>
    </xdr:from>
    <xdr:ext cx="22679025" cy="14392275"/>
    <xdr:graphicFrame>
      <xdr:nvGraphicFramePr>
        <xdr:cNvPr id="63886116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23</xdr:col>
      <xdr:colOff>409575</xdr:colOff>
      <xdr:row>235</xdr:row>
      <xdr:rowOff>66675</xdr:rowOff>
    </xdr:from>
    <xdr:ext cx="22526625" cy="14344650"/>
    <xdr:graphicFrame>
      <xdr:nvGraphicFramePr>
        <xdr:cNvPr id="127203141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0</xdr:colOff>
      <xdr:row>40</xdr:row>
      <xdr:rowOff>0</xdr:rowOff>
    </xdr:from>
    <xdr:ext cx="10801350" cy="7972425"/>
    <xdr:graphicFrame>
      <xdr:nvGraphicFramePr>
        <xdr:cNvPr id="1927176999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33</xdr:col>
      <xdr:colOff>171450</xdr:colOff>
      <xdr:row>40</xdr:row>
      <xdr:rowOff>0</xdr:rowOff>
    </xdr:from>
    <xdr:ext cx="10801350" cy="7972425"/>
    <xdr:graphicFrame>
      <xdr:nvGraphicFramePr>
        <xdr:cNvPr id="1089594835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0</xdr:colOff>
      <xdr:row>0</xdr:row>
      <xdr:rowOff>0</xdr:rowOff>
    </xdr:from>
    <xdr:ext cx="10801350" cy="7972425"/>
    <xdr:graphicFrame>
      <xdr:nvGraphicFramePr>
        <xdr:cNvPr id="1927051689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33</xdr:col>
      <xdr:colOff>171450</xdr:colOff>
      <xdr:row>0</xdr:row>
      <xdr:rowOff>0</xdr:rowOff>
    </xdr:from>
    <xdr:ext cx="10801350" cy="7972425"/>
    <xdr:graphicFrame>
      <xdr:nvGraphicFramePr>
        <xdr:cNvPr id="135135509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15</xdr:col>
      <xdr:colOff>0</xdr:colOff>
      <xdr:row>192</xdr:row>
      <xdr:rowOff>38100</xdr:rowOff>
    </xdr:from>
    <xdr:ext cx="10801350" cy="7972425"/>
    <xdr:graphicFrame>
      <xdr:nvGraphicFramePr>
        <xdr:cNvPr id="789107162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33</xdr:col>
      <xdr:colOff>171450</xdr:colOff>
      <xdr:row>192</xdr:row>
      <xdr:rowOff>38100</xdr:rowOff>
    </xdr:from>
    <xdr:ext cx="10801350" cy="7972425"/>
    <xdr:graphicFrame>
      <xdr:nvGraphicFramePr>
        <xdr:cNvPr id="975237806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15</xdr:col>
      <xdr:colOff>0</xdr:colOff>
      <xdr:row>78</xdr:row>
      <xdr:rowOff>9525</xdr:rowOff>
    </xdr:from>
    <xdr:ext cx="10801350" cy="7972425"/>
    <xdr:graphicFrame>
      <xdr:nvGraphicFramePr>
        <xdr:cNvPr id="1378323730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33</xdr:col>
      <xdr:colOff>171450</xdr:colOff>
      <xdr:row>78</xdr:row>
      <xdr:rowOff>9525</xdr:rowOff>
    </xdr:from>
    <xdr:ext cx="10801350" cy="7972425"/>
    <xdr:graphicFrame>
      <xdr:nvGraphicFramePr>
        <xdr:cNvPr id="145953899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15</xdr:col>
      <xdr:colOff>0</xdr:colOff>
      <xdr:row>116</xdr:row>
      <xdr:rowOff>19050</xdr:rowOff>
    </xdr:from>
    <xdr:ext cx="10801350" cy="7972425"/>
    <xdr:graphicFrame>
      <xdr:nvGraphicFramePr>
        <xdr:cNvPr id="887867379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33</xdr:col>
      <xdr:colOff>171450</xdr:colOff>
      <xdr:row>116</xdr:row>
      <xdr:rowOff>19050</xdr:rowOff>
    </xdr:from>
    <xdr:ext cx="10801350" cy="7972425"/>
    <xdr:graphicFrame>
      <xdr:nvGraphicFramePr>
        <xdr:cNvPr id="1349307221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15</xdr:col>
      <xdr:colOff>0</xdr:colOff>
      <xdr:row>154</xdr:row>
      <xdr:rowOff>28575</xdr:rowOff>
    </xdr:from>
    <xdr:ext cx="10801350" cy="7972425"/>
    <xdr:graphicFrame>
      <xdr:nvGraphicFramePr>
        <xdr:cNvPr id="201675471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33</xdr:col>
      <xdr:colOff>171450</xdr:colOff>
      <xdr:row>154</xdr:row>
      <xdr:rowOff>28575</xdr:rowOff>
    </xdr:from>
    <xdr:ext cx="10801350" cy="7972425"/>
    <xdr:graphicFrame>
      <xdr:nvGraphicFramePr>
        <xdr:cNvPr id="168477183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235</xdr:row>
      <xdr:rowOff>38100</xdr:rowOff>
    </xdr:from>
    <xdr:ext cx="22679025" cy="14392275"/>
    <xdr:graphicFrame>
      <xdr:nvGraphicFramePr>
        <xdr:cNvPr id="1854221844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23</xdr:col>
      <xdr:colOff>409575</xdr:colOff>
      <xdr:row>235</xdr:row>
      <xdr:rowOff>66675</xdr:rowOff>
    </xdr:from>
    <xdr:ext cx="22526625" cy="14344650"/>
    <xdr:graphicFrame>
      <xdr:nvGraphicFramePr>
        <xdr:cNvPr id="2006767789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0</xdr:colOff>
      <xdr:row>40</xdr:row>
      <xdr:rowOff>0</xdr:rowOff>
    </xdr:from>
    <xdr:ext cx="10801350" cy="7972425"/>
    <xdr:graphicFrame>
      <xdr:nvGraphicFramePr>
        <xdr:cNvPr id="1680748255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33</xdr:col>
      <xdr:colOff>171450</xdr:colOff>
      <xdr:row>40</xdr:row>
      <xdr:rowOff>0</xdr:rowOff>
    </xdr:from>
    <xdr:ext cx="10801350" cy="7972425"/>
    <xdr:graphicFrame>
      <xdr:nvGraphicFramePr>
        <xdr:cNvPr id="926432085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0</xdr:colOff>
      <xdr:row>0</xdr:row>
      <xdr:rowOff>0</xdr:rowOff>
    </xdr:from>
    <xdr:ext cx="10801350" cy="7972425"/>
    <xdr:graphicFrame>
      <xdr:nvGraphicFramePr>
        <xdr:cNvPr id="290744819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33</xdr:col>
      <xdr:colOff>171450</xdr:colOff>
      <xdr:row>0</xdr:row>
      <xdr:rowOff>0</xdr:rowOff>
    </xdr:from>
    <xdr:ext cx="10801350" cy="7972425"/>
    <xdr:graphicFrame>
      <xdr:nvGraphicFramePr>
        <xdr:cNvPr id="1037978553" name="Chart 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15</xdr:col>
      <xdr:colOff>0</xdr:colOff>
      <xdr:row>192</xdr:row>
      <xdr:rowOff>38100</xdr:rowOff>
    </xdr:from>
    <xdr:ext cx="10801350" cy="7972425"/>
    <xdr:graphicFrame>
      <xdr:nvGraphicFramePr>
        <xdr:cNvPr id="968944559" name="Chart 2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33</xdr:col>
      <xdr:colOff>171450</xdr:colOff>
      <xdr:row>192</xdr:row>
      <xdr:rowOff>38100</xdr:rowOff>
    </xdr:from>
    <xdr:ext cx="10801350" cy="7972425"/>
    <xdr:graphicFrame>
      <xdr:nvGraphicFramePr>
        <xdr:cNvPr id="695431086" name="Chart 2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15</xdr:col>
      <xdr:colOff>0</xdr:colOff>
      <xdr:row>78</xdr:row>
      <xdr:rowOff>9525</xdr:rowOff>
    </xdr:from>
    <xdr:ext cx="10801350" cy="7972425"/>
    <xdr:graphicFrame>
      <xdr:nvGraphicFramePr>
        <xdr:cNvPr id="520676241" name="Chart 2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33</xdr:col>
      <xdr:colOff>171450</xdr:colOff>
      <xdr:row>78</xdr:row>
      <xdr:rowOff>9525</xdr:rowOff>
    </xdr:from>
    <xdr:ext cx="10801350" cy="7972425"/>
    <xdr:graphicFrame>
      <xdr:nvGraphicFramePr>
        <xdr:cNvPr id="714795025" name="Chart 2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15</xdr:col>
      <xdr:colOff>0</xdr:colOff>
      <xdr:row>116</xdr:row>
      <xdr:rowOff>19050</xdr:rowOff>
    </xdr:from>
    <xdr:ext cx="10801350" cy="7972425"/>
    <xdr:graphicFrame>
      <xdr:nvGraphicFramePr>
        <xdr:cNvPr id="437784675" name="Chart 2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33</xdr:col>
      <xdr:colOff>171450</xdr:colOff>
      <xdr:row>116</xdr:row>
      <xdr:rowOff>19050</xdr:rowOff>
    </xdr:from>
    <xdr:ext cx="10801350" cy="7972425"/>
    <xdr:graphicFrame>
      <xdr:nvGraphicFramePr>
        <xdr:cNvPr id="3473962" name="Chart 2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15</xdr:col>
      <xdr:colOff>0</xdr:colOff>
      <xdr:row>154</xdr:row>
      <xdr:rowOff>28575</xdr:rowOff>
    </xdr:from>
    <xdr:ext cx="10801350" cy="7972425"/>
    <xdr:graphicFrame>
      <xdr:nvGraphicFramePr>
        <xdr:cNvPr id="1585142556" name="Chart 2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33</xdr:col>
      <xdr:colOff>171450</xdr:colOff>
      <xdr:row>154</xdr:row>
      <xdr:rowOff>28575</xdr:rowOff>
    </xdr:from>
    <xdr:ext cx="10801350" cy="7972425"/>
    <xdr:graphicFrame>
      <xdr:nvGraphicFramePr>
        <xdr:cNvPr id="2089583969" name="Chart 2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42</xdr:row>
      <xdr:rowOff>38100</xdr:rowOff>
    </xdr:from>
    <xdr:ext cx="13649325" cy="10296525"/>
    <xdr:graphicFrame>
      <xdr:nvGraphicFramePr>
        <xdr:cNvPr id="857064683" name="Chart 2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0</xdr:colOff>
      <xdr:row>94</xdr:row>
      <xdr:rowOff>190500</xdr:rowOff>
    </xdr:from>
    <xdr:ext cx="13649325" cy="10296525"/>
    <xdr:graphicFrame>
      <xdr:nvGraphicFramePr>
        <xdr:cNvPr id="1988272947" name="Chart 3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235" displayName="Table_1" name="Table_1" id="1">
  <tableColumns count="15">
    <tableColumn name="id" id="1"/>
    <tableColumn name="modification_type" id="2"/>
    <tableColumn name="generator_model" id="3"/>
    <tableColumn name="BLEU_score" id="4"/>
    <tableColumn name="BERTScore_Precision" id="5"/>
    <tableColumn name="BERTScore_Recall" id="6"/>
    <tableColumn name="BERTScore_F1" id="7"/>
    <tableColumn name="rouge1" id="8"/>
    <tableColumn name="rouge2" id="9"/>
    <tableColumn name="rougeL" id="10"/>
    <tableColumn name="rougeLsum" id="11"/>
    <tableColumn name="CTC_groundness" id="12"/>
    <tableColumn name="CTC_groundness_ref" id="13"/>
    <tableColumn name="CTC_factual" id="14"/>
    <tableColumn name="CTC_factual_ref" id="15"/>
  </tableColumns>
  <tableStyleInfo name="metricas_redações_diplomatas-style" showColumnStripes="0" showFirstColumn="1" showLastColumn="1" showRowStripes="1"/>
</table>
</file>

<file path=xl/tables/table2.xml><?xml version="1.0" encoding="utf-8"?>
<table xmlns="http://schemas.openxmlformats.org/spreadsheetml/2006/main" ref="A1:O235" displayName="Table_2" name="Table_2" id="2">
  <tableColumns count="15">
    <tableColumn name="id" id="1"/>
    <tableColumn name="modification_type" id="2"/>
    <tableColumn name="generator_model" id="3"/>
    <tableColumn name="BLEU_score" id="4"/>
    <tableColumn name="BERTScore_Precision" id="5"/>
    <tableColumn name="BERTScore_Recall" id="6"/>
    <tableColumn name="BERTScore_F1" id="7"/>
    <tableColumn name="rouge1" id="8"/>
    <tableColumn name="rouge2" id="9"/>
    <tableColumn name="rougeL" id="10"/>
    <tableColumn name="rougeLsum" id="11"/>
    <tableColumn name="CTC_groundness" id="12"/>
    <tableColumn name="CTC_groundness_ref" id="13"/>
    <tableColumn name="CTC_factual" id="14"/>
    <tableColumn name="CTC_factual_ref" id="15"/>
  </tableColumns>
  <tableStyleInfo name="gabmetricas_redações_diplomatas-style" showColumnStripes="0" showFirstColumn="1" showLastColumn="1" showRowStripes="1"/>
</table>
</file>

<file path=xl/tables/table3.xml><?xml version="1.0" encoding="utf-8"?>
<table xmlns="http://schemas.openxmlformats.org/spreadsheetml/2006/main" ref="A1:O235" displayName="Table_3" name="Table_3" id="3">
  <tableColumns count="15">
    <tableColumn name="id" id="1"/>
    <tableColumn name="modification_type" id="2"/>
    <tableColumn name="generator_model" id="3"/>
    <tableColumn name="BLEU_score" id="4"/>
    <tableColumn name="BERTScore_Precision" id="5"/>
    <tableColumn name="BERTScore_Recall" id="6"/>
    <tableColumn name="BERTScore_F1" id="7"/>
    <tableColumn name="rouge1" id="8"/>
    <tableColumn name="rouge2" id="9"/>
    <tableColumn name="rougeL" id="10"/>
    <tableColumn name="rougeLsum" id="11"/>
    <tableColumn name="CTC_groundness" id="12"/>
    <tableColumn name="CTC_groundness_ref" id="13"/>
    <tableColumn name="CTC_factual" id="14"/>
    <tableColumn name="CTC_factual_ref" id="15"/>
  </tableColumns>
  <tableStyleInfo name="metricas_media-style" showColumnStripes="0" showFirstColumn="1" showLastColumn="1" showRowStripes="1"/>
</table>
</file>

<file path=xl/tables/table4.xml><?xml version="1.0" encoding="utf-8"?>
<table xmlns="http://schemas.openxmlformats.org/spreadsheetml/2006/main" ref="A1:O19" displayName="Table_4" name="Table_4" id="4">
  <tableColumns count="15">
    <tableColumn name="id" id="1"/>
    <tableColumn name="modification_type" id="2"/>
    <tableColumn name="generator_model" id="3"/>
    <tableColumn name="BLEU_score" id="4"/>
    <tableColumn name="BERTScore_Precision" id="5"/>
    <tableColumn name="BERTScore_Recall" id="6"/>
    <tableColumn name="BERTScore_F1" id="7"/>
    <tableColumn name="rouge1" id="8"/>
    <tableColumn name="rouge2" id="9"/>
    <tableColumn name="rougeL" id="10"/>
    <tableColumn name="rougeLsum" id="11"/>
    <tableColumn name="CTC_groundness" id="12"/>
    <tableColumn name="CTC_groundness_ref" id="13"/>
    <tableColumn name="CTC_factual" id="14"/>
    <tableColumn name="CTC_factual_ref" id="15"/>
  </tableColumns>
  <tableStyleInfo name="Command-style" showColumnStripes="0" showFirstColumn="1" showLastColumn="1" showRowStripes="1"/>
</table>
</file>

<file path=xl/tables/table5.xml><?xml version="1.0" encoding="utf-8"?>
<table xmlns="http://schemas.openxmlformats.org/spreadsheetml/2006/main" ref="A1:O37" displayName="Table_5" name="Table_5" id="5">
  <tableColumns count="15">
    <tableColumn name="id" id="1"/>
    <tableColumn name="modification_type" id="2"/>
    <tableColumn name="generator_model" id="3"/>
    <tableColumn name="BLEU_score" id="4"/>
    <tableColumn name="BERTScore_Precision" id="5"/>
    <tableColumn name="BERTScore_Recall" id="6"/>
    <tableColumn name="BERTScore_F1" id="7"/>
    <tableColumn name="rouge1" id="8"/>
    <tableColumn name="rouge2" id="9"/>
    <tableColumn name="rougeL" id="10"/>
    <tableColumn name="rougeLsum" id="11"/>
    <tableColumn name="CTC_groundness" id="12"/>
    <tableColumn name="CTC_groundness_ref" id="13"/>
    <tableColumn name="CTC_factual" id="14"/>
    <tableColumn name="CTC_factual_ref" id="15"/>
  </tableColumns>
  <tableStyleInfo name="Gemma-style" showColumnStripes="0" showFirstColumn="1" showLastColumn="1" showRowStripes="1"/>
</table>
</file>

<file path=xl/tables/table6.xml><?xml version="1.0" encoding="utf-8"?>
<table xmlns="http://schemas.openxmlformats.org/spreadsheetml/2006/main" ref="A1:O19" displayName="Table_6" name="Table_6" id="6">
  <tableColumns count="15">
    <tableColumn name="id" id="1"/>
    <tableColumn name="modification_type" id="2"/>
    <tableColumn name="generator_model" id="3"/>
    <tableColumn name="BLEU_score" id="4"/>
    <tableColumn name="BERTScore_Precision" id="5"/>
    <tableColumn name="BERTScore_Recall" id="6"/>
    <tableColumn name="BERTScore_F1" id="7"/>
    <tableColumn name="rouge1" id="8"/>
    <tableColumn name="rouge2" id="9"/>
    <tableColumn name="rougeL" id="10"/>
    <tableColumn name="rougeLsum" id="11"/>
    <tableColumn name="CTC_groundness" id="12"/>
    <tableColumn name="CTC_groundness_ref" id="13"/>
    <tableColumn name="CTC_factual" id="14"/>
    <tableColumn name="CTC_factual_ref" id="15"/>
  </tableColumns>
  <tableStyleInfo name="GPT-style" showColumnStripes="0" showFirstColumn="1" showLastColumn="1" showRowStripes="1"/>
</table>
</file>

<file path=xl/tables/table7.xml><?xml version="1.0" encoding="utf-8"?>
<table xmlns="http://schemas.openxmlformats.org/spreadsheetml/2006/main" ref="A1:O37" displayName="Table_7" name="Table_7" id="7">
  <tableColumns count="15">
    <tableColumn name="id" id="1"/>
    <tableColumn name="modification_type" id="2"/>
    <tableColumn name="generator_model" id="3"/>
    <tableColumn name="BLEU_score" id="4"/>
    <tableColumn name="BERTScore_Precision" id="5"/>
    <tableColumn name="BERTScore_Recall" id="6"/>
    <tableColumn name="BERTScore_F1" id="7"/>
    <tableColumn name="rouge1" id="8"/>
    <tableColumn name="rouge2" id="9"/>
    <tableColumn name="rougeL" id="10"/>
    <tableColumn name="rougeLsum" id="11"/>
    <tableColumn name="CTC_groundness" id="12"/>
    <tableColumn name="CTC_groundness_ref" id="13"/>
    <tableColumn name="CTC_factual" id="14"/>
    <tableColumn name="CTC_factual_ref" id="15"/>
  </tableColumns>
  <tableStyleInfo name="Llama-style" showColumnStripes="0" showFirstColumn="1" showLastColumn="1" showRowStripes="1"/>
</table>
</file>

<file path=xl/tables/table8.xml><?xml version="1.0" encoding="utf-8"?>
<table xmlns="http://schemas.openxmlformats.org/spreadsheetml/2006/main" ref="A1:O37" displayName="Table_8" name="Table_8" id="8">
  <tableColumns count="15">
    <tableColumn name="id" id="1"/>
    <tableColumn name="modification_type" id="2"/>
    <tableColumn name="generator_model" id="3"/>
    <tableColumn name="BLEU_score" id="4"/>
    <tableColumn name="BERTScore_Precision" id="5"/>
    <tableColumn name="BERTScore_Recall" id="6"/>
    <tableColumn name="BERTScore_F1" id="7"/>
    <tableColumn name="rouge1" id="8"/>
    <tableColumn name="rouge2" id="9"/>
    <tableColumn name="rougeL" id="10"/>
    <tableColumn name="rougeLsum" id="11"/>
    <tableColumn name="CTC_groundness" id="12"/>
    <tableColumn name="CTC_groundness_ref" id="13"/>
    <tableColumn name="CTC_factual" id="14"/>
    <tableColumn name="CTC_factual_ref" id="15"/>
  </tableColumns>
  <tableStyleInfo name="Mixtral-style" showColumnStripes="0" showFirstColumn="1" showLastColumn="1" showRowStripes="1"/>
</table>
</file>

<file path=xl/tables/table9.xml><?xml version="1.0" encoding="utf-8"?>
<table xmlns="http://schemas.openxmlformats.org/spreadsheetml/2006/main" ref="A1:O37" displayName="Table_9" name="Table_9" id="9">
  <tableColumns count="15">
    <tableColumn name="id" id="1"/>
    <tableColumn name="modification_type" id="2"/>
    <tableColumn name="generator_model" id="3"/>
    <tableColumn name="BLEU_score" id="4"/>
    <tableColumn name="BERTScore_Precision" id="5"/>
    <tableColumn name="BERTScore_Recall" id="6"/>
    <tableColumn name="BERTScore_F1" id="7"/>
    <tableColumn name="rouge1" id="8"/>
    <tableColumn name="rouge2" id="9"/>
    <tableColumn name="rougeL" id="10"/>
    <tableColumn name="rougeLsum" id="11"/>
    <tableColumn name="CTC_groundness" id="12"/>
    <tableColumn name="CTC_groundness_ref" id="13"/>
    <tableColumn name="CTC_factual" id="14"/>
    <tableColumn name="CTC_factual_ref" id="15"/>
  </tableColumns>
  <tableStyleInfo name="Phi-style" showColumnStripes="0" showFirstColumn="1" showLastColumn="1" showRowStripes="1"/>
</table>
</file>

<file path=xl/tables/table10.xml><?xml version="1.0" encoding="utf-8"?>
<table xmlns="http://schemas.openxmlformats.org/spreadsheetml/2006/main" ref="A1:O37" displayName="Table_10" name="Table_10" id="10">
  <tableColumns count="15">
    <tableColumn name="id" id="1"/>
    <tableColumn name="modification_type" id="2"/>
    <tableColumn name="generator_model" id="3"/>
    <tableColumn name="BLEU_score" id="4"/>
    <tableColumn name="BERTScore_Precision" id="5"/>
    <tableColumn name="BERTScore_Recall" id="6"/>
    <tableColumn name="BERTScore_F1" id="7"/>
    <tableColumn name="rouge1" id="8"/>
    <tableColumn name="rouge2" id="9"/>
    <tableColumn name="rougeL" id="10"/>
    <tableColumn name="rougeLsum" id="11"/>
    <tableColumn name="CTC_groundness" id="12"/>
    <tableColumn name="CTC_groundness_ref" id="13"/>
    <tableColumn name="CTC_factual" id="14"/>
    <tableColumn name="CTC_factual_ref" id="15"/>
  </tableColumns>
  <tableStyleInfo name="Qwen-style" showColumnStripes="0" showFirstColumn="1" showLastColumn="1" showRowStripes="1"/>
</table>
</file>

<file path=xl/tables/table11.xml><?xml version="1.0" encoding="utf-8"?>
<table xmlns="http://schemas.openxmlformats.org/spreadsheetml/2006/main" ref="A1:O19" displayName="Table_11" name="Table_11" id="11">
  <tableColumns count="15">
    <tableColumn name="id" id="1"/>
    <tableColumn name="modification_type" id="2"/>
    <tableColumn name="generator_model" id="3"/>
    <tableColumn name="BLEU_score" id="4"/>
    <tableColumn name="BERTScore_Precision" id="5"/>
    <tableColumn name="BERTScore_Recall" id="6"/>
    <tableColumn name="BERTScore_F1" id="7"/>
    <tableColumn name="rouge1" id="8"/>
    <tableColumn name="rouge2" id="9"/>
    <tableColumn name="rougeL" id="10"/>
    <tableColumn name="rougeLsum" id="11"/>
    <tableColumn name="CTC_groundness" id="12"/>
    <tableColumn name="CTC_groundness_ref" id="13"/>
    <tableColumn name="CTC_factual" id="14"/>
    <tableColumn name="CTC_factual_ref" id="15"/>
  </tableColumns>
  <tableStyleInfo name="Sab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3.43"/>
    <col customWidth="1" min="5" max="5" width="21.86"/>
    <col customWidth="1" min="6" max="6" width="18.86"/>
    <col customWidth="1" min="7" max="7" width="15.57"/>
    <col customWidth="1" min="8" max="10" width="12.0"/>
    <col customWidth="1" min="11" max="11" width="13.0"/>
    <col customWidth="1" min="12" max="12" width="18.0"/>
    <col customWidth="1" min="13" max="13" width="21.71"/>
    <col customWidth="1" min="14" max="14" width="13.57"/>
    <col customWidth="1" min="15" max="15" width="17.29"/>
    <col customWidth="1" min="16" max="6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>
        <v>0.09074548452340513</v>
      </c>
      <c r="E2" s="1">
        <v>0.7501270771026611</v>
      </c>
      <c r="F2" s="1">
        <v>0.751420259475708</v>
      </c>
      <c r="G2" s="1">
        <v>0.7507731318473816</v>
      </c>
      <c r="H2" s="1">
        <v>0.5307730182176267</v>
      </c>
      <c r="I2" s="1">
        <v>0.1784130113356333</v>
      </c>
      <c r="J2" s="1">
        <v>0.190054160512063</v>
      </c>
      <c r="K2" s="1">
        <v>0.28163466272772036</v>
      </c>
      <c r="L2" s="1">
        <v>0.0</v>
      </c>
      <c r="M2" s="1">
        <v>0.0</v>
      </c>
      <c r="N2" s="1">
        <v>0.9999999403953552</v>
      </c>
      <c r="O2" s="1">
        <v>0.8271334767341614</v>
      </c>
    </row>
    <row r="3">
      <c r="A3" s="1" t="s">
        <v>15</v>
      </c>
      <c r="B3" s="1" t="s">
        <v>16</v>
      </c>
      <c r="C3" s="1" t="s">
        <v>18</v>
      </c>
      <c r="D3" s="1">
        <v>0.09438579173566645</v>
      </c>
      <c r="E3" s="1">
        <v>0.7499855756759644</v>
      </c>
      <c r="F3" s="1">
        <v>0.7521843314170837</v>
      </c>
      <c r="G3" s="1">
        <v>0.7510833740234375</v>
      </c>
      <c r="H3" s="1">
        <v>0.5307125307125307</v>
      </c>
      <c r="I3" s="1">
        <v>0.17314313821938024</v>
      </c>
      <c r="J3" s="1">
        <v>0.19262899262899263</v>
      </c>
      <c r="K3" s="1">
        <v>0.28206388206388205</v>
      </c>
      <c r="L3" s="1">
        <v>0.0</v>
      </c>
      <c r="M3" s="1">
        <v>0.0</v>
      </c>
      <c r="N3" s="1">
        <v>0.9999999403953552</v>
      </c>
      <c r="O3" s="1">
        <v>0.8271334767341614</v>
      </c>
    </row>
    <row r="4">
      <c r="A4" s="1" t="s">
        <v>15</v>
      </c>
      <c r="B4" s="1" t="s">
        <v>16</v>
      </c>
      <c r="C4" s="1" t="s">
        <v>19</v>
      </c>
      <c r="D4" s="1">
        <v>0.08873859516496355</v>
      </c>
      <c r="E4" s="1">
        <v>0.75095534324646</v>
      </c>
      <c r="F4" s="1">
        <v>0.7501893043518066</v>
      </c>
      <c r="G4" s="1">
        <v>0.750572144985199</v>
      </c>
      <c r="H4" s="1">
        <v>0.5310059715204409</v>
      </c>
      <c r="I4" s="1">
        <v>0.16919540229885058</v>
      </c>
      <c r="J4" s="1">
        <v>0.1938447404685347</v>
      </c>
      <c r="K4" s="1">
        <v>0.28479559026182816</v>
      </c>
      <c r="L4" s="1">
        <v>0.0</v>
      </c>
      <c r="M4" s="1">
        <v>0.0</v>
      </c>
      <c r="N4" s="1">
        <v>0.9999999403953552</v>
      </c>
      <c r="O4" s="1">
        <v>0.8271334767341614</v>
      </c>
    </row>
    <row r="5">
      <c r="A5" s="1" t="s">
        <v>15</v>
      </c>
      <c r="B5" s="1" t="s">
        <v>16</v>
      </c>
      <c r="C5" s="1" t="s">
        <v>20</v>
      </c>
      <c r="D5" s="1">
        <v>0.07025799622039959</v>
      </c>
      <c r="E5" s="1">
        <v>0.739550769329071</v>
      </c>
      <c r="F5" s="1">
        <v>0.738888680934906</v>
      </c>
      <c r="G5" s="1">
        <v>0.7392195463180542</v>
      </c>
      <c r="H5" s="1">
        <v>0.5101796407185629</v>
      </c>
      <c r="I5" s="1">
        <v>0.16906474820143885</v>
      </c>
      <c r="J5" s="1">
        <v>0.18562874251497008</v>
      </c>
      <c r="K5" s="1">
        <v>0.28263473053892213</v>
      </c>
      <c r="L5" s="1">
        <v>0.0</v>
      </c>
      <c r="M5" s="1">
        <v>0.0</v>
      </c>
      <c r="N5" s="1">
        <v>0.9999999403953552</v>
      </c>
      <c r="O5" s="1">
        <v>0.8271334767341614</v>
      </c>
    </row>
    <row r="6">
      <c r="A6" s="1" t="s">
        <v>15</v>
      </c>
      <c r="B6" s="1" t="s">
        <v>16</v>
      </c>
      <c r="C6" s="1" t="s">
        <v>21</v>
      </c>
      <c r="D6" s="1">
        <v>0.07154966422492529</v>
      </c>
      <c r="E6" s="1">
        <v>0.7374701499938965</v>
      </c>
      <c r="F6" s="1">
        <v>0.7393552660942078</v>
      </c>
      <c r="G6" s="1">
        <v>0.7384114861488342</v>
      </c>
      <c r="H6" s="1">
        <v>0.5063001145475372</v>
      </c>
      <c r="I6" s="1">
        <v>0.1513761467889908</v>
      </c>
      <c r="J6" s="1">
        <v>0.2027491408934708</v>
      </c>
      <c r="K6" s="1">
        <v>0.27720504009163804</v>
      </c>
      <c r="L6" s="1">
        <v>0.0</v>
      </c>
      <c r="M6" s="1">
        <v>0.0</v>
      </c>
      <c r="N6" s="1">
        <v>0.9999999403953552</v>
      </c>
      <c r="O6" s="1">
        <v>0.8271334767341614</v>
      </c>
    </row>
    <row r="7">
      <c r="A7" s="1" t="s">
        <v>15</v>
      </c>
      <c r="B7" s="1" t="s">
        <v>16</v>
      </c>
      <c r="C7" s="1" t="s">
        <v>22</v>
      </c>
      <c r="D7" s="1">
        <v>0.06018273857884317</v>
      </c>
      <c r="E7" s="1">
        <v>0.7506675720214844</v>
      </c>
      <c r="F7" s="1">
        <v>0.7439956665039062</v>
      </c>
      <c r="G7" s="1">
        <v>0.7473167777061462</v>
      </c>
      <c r="H7" s="1">
        <v>0.485207100591716</v>
      </c>
      <c r="I7" s="1">
        <v>0.13744075829383887</v>
      </c>
      <c r="J7" s="1">
        <v>0.1905325443786982</v>
      </c>
      <c r="K7" s="1">
        <v>0.2923076923076923</v>
      </c>
      <c r="L7" s="1">
        <v>0.0</v>
      </c>
      <c r="M7" s="1">
        <v>0.0</v>
      </c>
      <c r="N7" s="1">
        <v>0.9999999403953552</v>
      </c>
      <c r="O7" s="1">
        <v>0.8271334767341614</v>
      </c>
    </row>
    <row r="8">
      <c r="A8" s="1" t="s">
        <v>15</v>
      </c>
      <c r="B8" s="1" t="s">
        <v>16</v>
      </c>
      <c r="C8" s="1" t="s">
        <v>23</v>
      </c>
      <c r="D8" s="1">
        <v>0.05642314487733754</v>
      </c>
      <c r="E8" s="1">
        <v>0.7438938021659851</v>
      </c>
      <c r="F8" s="1">
        <v>0.736708402633667</v>
      </c>
      <c r="G8" s="1">
        <v>0.7402836680412292</v>
      </c>
      <c r="H8" s="1">
        <v>0.4760705289672544</v>
      </c>
      <c r="I8" s="1">
        <v>0.15762925598991173</v>
      </c>
      <c r="J8" s="1">
        <v>0.1788413098236776</v>
      </c>
      <c r="K8" s="1">
        <v>0.26952141057934503</v>
      </c>
      <c r="L8" s="1">
        <v>0.0</v>
      </c>
      <c r="M8" s="1">
        <v>0.0</v>
      </c>
      <c r="N8" s="1">
        <v>0.9999999403953552</v>
      </c>
      <c r="O8" s="1">
        <v>0.8271334767341614</v>
      </c>
    </row>
    <row r="9">
      <c r="A9" s="1" t="s">
        <v>15</v>
      </c>
      <c r="B9" s="1" t="s">
        <v>16</v>
      </c>
      <c r="C9" s="1" t="s">
        <v>24</v>
      </c>
      <c r="D9" s="1">
        <v>0.055889325576859036</v>
      </c>
      <c r="E9" s="1">
        <v>0.7473039031028748</v>
      </c>
      <c r="F9" s="1">
        <v>0.7374606132507324</v>
      </c>
      <c r="G9" s="1">
        <v>0.7423495650291443</v>
      </c>
      <c r="H9" s="1">
        <v>0.4685714285714286</v>
      </c>
      <c r="I9" s="1">
        <v>0.1551176096630642</v>
      </c>
      <c r="J9" s="1">
        <v>0.17523809523809522</v>
      </c>
      <c r="K9" s="1">
        <v>0.2679365079365079</v>
      </c>
      <c r="L9" s="1">
        <v>0.0</v>
      </c>
      <c r="M9" s="1">
        <v>0.0</v>
      </c>
      <c r="N9" s="1">
        <v>0.9999999403953552</v>
      </c>
      <c r="O9" s="1">
        <v>0.8271334767341614</v>
      </c>
    </row>
    <row r="10">
      <c r="A10" s="1" t="s">
        <v>15</v>
      </c>
      <c r="B10" s="1" t="s">
        <v>16</v>
      </c>
      <c r="C10" s="1" t="s">
        <v>25</v>
      </c>
      <c r="D10" s="1">
        <v>0.055889325576859036</v>
      </c>
      <c r="E10" s="1">
        <v>0.7473039031028748</v>
      </c>
      <c r="F10" s="1">
        <v>0.7374606132507324</v>
      </c>
      <c r="G10" s="1">
        <v>0.7423495650291443</v>
      </c>
      <c r="H10" s="1">
        <v>0.4685714285714286</v>
      </c>
      <c r="I10" s="1">
        <v>0.1551176096630642</v>
      </c>
      <c r="J10" s="1">
        <v>0.17523809523809522</v>
      </c>
      <c r="K10" s="1">
        <v>0.2679365079365079</v>
      </c>
      <c r="L10" s="1">
        <v>0.0</v>
      </c>
      <c r="M10" s="1">
        <v>0.0</v>
      </c>
      <c r="N10" s="1">
        <v>0.9999999403953552</v>
      </c>
      <c r="O10" s="1">
        <v>0.8271334767341614</v>
      </c>
    </row>
    <row r="11">
      <c r="A11" s="1" t="s">
        <v>15</v>
      </c>
      <c r="B11" s="1" t="s">
        <v>16</v>
      </c>
      <c r="C11" s="1" t="s">
        <v>26</v>
      </c>
      <c r="D11" s="1">
        <v>0.05715371883589902</v>
      </c>
      <c r="E11" s="1">
        <v>0.758051335811615</v>
      </c>
      <c r="F11" s="1">
        <v>0.751952052116394</v>
      </c>
      <c r="G11" s="1">
        <v>0.7549893856048584</v>
      </c>
      <c r="H11" s="1">
        <v>0.4818817546090273</v>
      </c>
      <c r="I11" s="1">
        <v>0.15404201145767027</v>
      </c>
      <c r="J11" s="1">
        <v>0.20470438652256834</v>
      </c>
      <c r="K11" s="1">
        <v>0.2619198982835346</v>
      </c>
      <c r="L11" s="1">
        <v>0.0</v>
      </c>
      <c r="M11" s="1">
        <v>0.0</v>
      </c>
      <c r="N11" s="1">
        <v>0.9999999403953552</v>
      </c>
      <c r="O11" s="1">
        <v>0.8271334767341614</v>
      </c>
    </row>
    <row r="12">
      <c r="A12" s="1" t="s">
        <v>15</v>
      </c>
      <c r="B12" s="1" t="s">
        <v>16</v>
      </c>
      <c r="C12" s="1" t="s">
        <v>27</v>
      </c>
      <c r="D12" s="1">
        <v>0.051347904121211374</v>
      </c>
      <c r="E12" s="1">
        <v>0.7596192359924316</v>
      </c>
      <c r="F12" s="1">
        <v>0.7499404549598694</v>
      </c>
      <c r="G12" s="1">
        <v>0.7547488212585449</v>
      </c>
      <c r="H12" s="1">
        <v>0.49044585987261147</v>
      </c>
      <c r="I12" s="1">
        <v>0.1607142857142857</v>
      </c>
      <c r="J12" s="1">
        <v>0.2038216560509554</v>
      </c>
      <c r="K12" s="1">
        <v>0.26114649681528657</v>
      </c>
      <c r="L12" s="1">
        <v>0.0</v>
      </c>
      <c r="M12" s="1">
        <v>0.0</v>
      </c>
      <c r="N12" s="1">
        <v>0.9999999403953552</v>
      </c>
      <c r="O12" s="1">
        <v>0.8271334767341614</v>
      </c>
    </row>
    <row r="13">
      <c r="A13" s="1" t="s">
        <v>15</v>
      </c>
      <c r="B13" s="1" t="s">
        <v>16</v>
      </c>
      <c r="C13" s="1" t="s">
        <v>28</v>
      </c>
      <c r="D13" s="1">
        <v>0.04729478509575231</v>
      </c>
      <c r="E13" s="1">
        <v>0.758371889591217</v>
      </c>
      <c r="F13" s="1">
        <v>0.749900221824646</v>
      </c>
      <c r="G13" s="1">
        <v>0.7541122436523438</v>
      </c>
      <c r="H13" s="1">
        <v>0.48063033486539725</v>
      </c>
      <c r="I13" s="1">
        <v>0.16305062458908615</v>
      </c>
      <c r="J13" s="1">
        <v>0.19829284307288247</v>
      </c>
      <c r="K13" s="1">
        <v>0.26526592252133946</v>
      </c>
      <c r="L13" s="1">
        <v>0.0</v>
      </c>
      <c r="M13" s="1">
        <v>0.0</v>
      </c>
      <c r="N13" s="1">
        <v>0.9999999403953552</v>
      </c>
      <c r="O13" s="1">
        <v>0.8271334767341614</v>
      </c>
    </row>
    <row r="14">
      <c r="A14" s="1" t="s">
        <v>15</v>
      </c>
      <c r="B14" s="1" t="s">
        <v>16</v>
      </c>
      <c r="C14" s="1" t="s">
        <v>29</v>
      </c>
      <c r="D14" s="1">
        <v>0.06646623444698056</v>
      </c>
      <c r="E14" s="1">
        <v>0.7449965476989746</v>
      </c>
      <c r="F14" s="1">
        <v>0.735444962978363</v>
      </c>
      <c r="G14" s="1">
        <v>0.7401899099349976</v>
      </c>
      <c r="H14" s="1">
        <v>0.4758454106280193</v>
      </c>
      <c r="I14" s="1">
        <v>0.13905683192261187</v>
      </c>
      <c r="J14" s="1">
        <v>0.19323671497584538</v>
      </c>
      <c r="K14" s="1">
        <v>0.2669082125603865</v>
      </c>
      <c r="L14" s="1">
        <v>0.0</v>
      </c>
      <c r="M14" s="1">
        <v>0.0</v>
      </c>
      <c r="N14" s="1">
        <v>0.9999999403953552</v>
      </c>
      <c r="O14" s="1">
        <v>0.8271334767341614</v>
      </c>
    </row>
    <row r="15">
      <c r="A15" s="1" t="s">
        <v>15</v>
      </c>
      <c r="B15" s="1" t="s">
        <v>16</v>
      </c>
      <c r="C15" s="1" t="s">
        <v>30</v>
      </c>
      <c r="D15" s="1">
        <v>0.04299475459800284</v>
      </c>
      <c r="E15" s="1">
        <v>0.7420433759689331</v>
      </c>
      <c r="F15" s="1">
        <v>0.7358570098876953</v>
      </c>
      <c r="G15" s="1">
        <v>0.7389371991157532</v>
      </c>
      <c r="H15" s="1">
        <v>0.44266666666666665</v>
      </c>
      <c r="I15" s="1">
        <v>0.13217623497997327</v>
      </c>
      <c r="J15" s="1">
        <v>0.17733333333333332</v>
      </c>
      <c r="K15" s="1">
        <v>0.25199999999999995</v>
      </c>
      <c r="L15" s="1">
        <v>0.0</v>
      </c>
      <c r="M15" s="1">
        <v>0.0</v>
      </c>
      <c r="N15" s="1">
        <v>0.7693519592285156</v>
      </c>
      <c r="O15" s="1">
        <v>0.8153265714645386</v>
      </c>
    </row>
    <row r="16">
      <c r="A16" s="1" t="s">
        <v>15</v>
      </c>
      <c r="B16" s="1" t="s">
        <v>16</v>
      </c>
      <c r="C16" s="1" t="s">
        <v>31</v>
      </c>
      <c r="D16" s="1">
        <v>0.05260459007909754</v>
      </c>
      <c r="E16" s="1">
        <v>0.7479007840156555</v>
      </c>
      <c r="F16" s="1">
        <v>0.7263549566268921</v>
      </c>
      <c r="G16" s="1">
        <v>0.7369704246520996</v>
      </c>
      <c r="H16" s="1">
        <v>0.41397849462365593</v>
      </c>
      <c r="I16" s="1">
        <v>0.11978465679676985</v>
      </c>
      <c r="J16" s="1">
        <v>0.1814516129032258</v>
      </c>
      <c r="K16" s="1">
        <v>0.23521505376344087</v>
      </c>
      <c r="L16" s="1">
        <v>0.0</v>
      </c>
      <c r="M16" s="1">
        <v>0.0</v>
      </c>
      <c r="N16" s="1">
        <v>0.9999999403953552</v>
      </c>
      <c r="O16" s="1">
        <v>0.8271334767341614</v>
      </c>
    </row>
    <row r="17">
      <c r="A17" s="1" t="s">
        <v>15</v>
      </c>
      <c r="B17" s="1" t="s">
        <v>16</v>
      </c>
      <c r="C17" s="1" t="s">
        <v>32</v>
      </c>
      <c r="D17" s="1">
        <v>0.06213828964392003</v>
      </c>
      <c r="E17" s="1">
        <v>0.7388505339622498</v>
      </c>
      <c r="F17" s="1">
        <v>0.732083797454834</v>
      </c>
      <c r="G17" s="1">
        <v>0.7354515790939331</v>
      </c>
      <c r="H17" s="1">
        <v>0.486119679210364</v>
      </c>
      <c r="I17" s="1">
        <v>0.13094502779493514</v>
      </c>
      <c r="J17" s="1">
        <v>0.19370758790869833</v>
      </c>
      <c r="K17" s="1">
        <v>0.23935842072794572</v>
      </c>
      <c r="L17" s="1">
        <v>0.0</v>
      </c>
      <c r="M17" s="1">
        <v>0.0</v>
      </c>
      <c r="N17" s="1">
        <v>0.9999999403953552</v>
      </c>
      <c r="O17" s="1">
        <v>0.8271334767341614</v>
      </c>
    </row>
    <row r="18">
      <c r="A18" s="1" t="s">
        <v>15</v>
      </c>
      <c r="B18" s="1" t="s">
        <v>16</v>
      </c>
      <c r="C18" s="1" t="s">
        <v>33</v>
      </c>
      <c r="D18" s="1">
        <v>0.055553639005570345</v>
      </c>
      <c r="E18" s="1">
        <v>0.7388505339622498</v>
      </c>
      <c r="F18" s="1">
        <v>0.732083797454834</v>
      </c>
      <c r="G18" s="1">
        <v>0.7354515790939331</v>
      </c>
      <c r="H18" s="1">
        <v>0.4736164736164736</v>
      </c>
      <c r="I18" s="1">
        <v>0.1327319587628866</v>
      </c>
      <c r="J18" s="1">
        <v>0.18532818532818532</v>
      </c>
      <c r="K18" s="1">
        <v>0.23294723294723294</v>
      </c>
      <c r="L18" s="1">
        <v>0.0</v>
      </c>
      <c r="M18" s="1">
        <v>0.0</v>
      </c>
      <c r="N18" s="1">
        <v>0.9999999403953552</v>
      </c>
      <c r="O18" s="1">
        <v>0.8271334767341614</v>
      </c>
    </row>
    <row r="19">
      <c r="A19" s="1" t="s">
        <v>15</v>
      </c>
      <c r="B19" s="1" t="s">
        <v>16</v>
      </c>
      <c r="C19" s="1" t="s">
        <v>34</v>
      </c>
      <c r="D19" s="1">
        <v>0.0453730884160707</v>
      </c>
      <c r="E19" s="1">
        <v>0.7425742149353027</v>
      </c>
      <c r="F19" s="1">
        <v>0.7351837158203125</v>
      </c>
      <c r="G19" s="1">
        <v>0.7388604879379272</v>
      </c>
      <c r="H19" s="1">
        <v>0.464524765729585</v>
      </c>
      <c r="I19" s="1">
        <v>0.13538873994638068</v>
      </c>
      <c r="J19" s="1">
        <v>0.1834002677376171</v>
      </c>
      <c r="K19" s="1">
        <v>0.2463186077643909</v>
      </c>
      <c r="L19" s="1">
        <v>0.0</v>
      </c>
      <c r="M19" s="1">
        <v>0.0</v>
      </c>
      <c r="N19" s="1">
        <v>0.9999999403953552</v>
      </c>
      <c r="O19" s="1">
        <v>0.8271334767341614</v>
      </c>
    </row>
    <row r="20">
      <c r="A20" s="1" t="s">
        <v>15</v>
      </c>
      <c r="B20" s="1" t="s">
        <v>16</v>
      </c>
      <c r="C20" s="1" t="s">
        <v>35</v>
      </c>
      <c r="D20" s="1">
        <v>0.029430397239446494</v>
      </c>
      <c r="E20" s="1">
        <v>0.7484778165817261</v>
      </c>
      <c r="F20" s="1">
        <v>0.7370939254760742</v>
      </c>
      <c r="G20" s="1">
        <v>0.7427422404289246</v>
      </c>
      <c r="H20" s="1">
        <v>0.3836206896551725</v>
      </c>
      <c r="I20" s="1">
        <v>0.12805755395683452</v>
      </c>
      <c r="J20" s="1">
        <v>0.16954022988505746</v>
      </c>
      <c r="K20" s="1">
        <v>0.2385057471264368</v>
      </c>
      <c r="L20" s="1">
        <v>0.0</v>
      </c>
      <c r="M20" s="1">
        <v>0.0</v>
      </c>
      <c r="N20" s="1">
        <v>0.9999999403953552</v>
      </c>
      <c r="O20" s="1">
        <v>0.8271334767341614</v>
      </c>
    </row>
    <row r="21" ht="15.75" customHeight="1">
      <c r="A21" s="1" t="s">
        <v>15</v>
      </c>
      <c r="B21" s="1" t="s">
        <v>16</v>
      </c>
      <c r="C21" s="1" t="s">
        <v>36</v>
      </c>
      <c r="D21" s="1">
        <v>0.04336172866521093</v>
      </c>
      <c r="E21" s="1">
        <v>0.7446160316467285</v>
      </c>
      <c r="F21" s="1">
        <v>0.7370531558990479</v>
      </c>
      <c r="G21" s="1">
        <v>0.740815281867981</v>
      </c>
      <c r="H21" s="1">
        <v>0.40437158469945356</v>
      </c>
      <c r="I21" s="1">
        <v>0.12585499316005472</v>
      </c>
      <c r="J21" s="1">
        <v>0.18032786885245902</v>
      </c>
      <c r="K21" s="1">
        <v>0.25136612021857924</v>
      </c>
      <c r="L21" s="1">
        <v>0.0</v>
      </c>
      <c r="M21" s="1">
        <v>0.0</v>
      </c>
      <c r="N21" s="1">
        <v>0.9999999403953552</v>
      </c>
      <c r="O21" s="1">
        <v>0.8271334767341614</v>
      </c>
    </row>
    <row r="22" ht="15.75" customHeight="1">
      <c r="A22" s="1" t="s">
        <v>15</v>
      </c>
      <c r="B22" s="1" t="s">
        <v>16</v>
      </c>
      <c r="C22" s="1" t="s">
        <v>37</v>
      </c>
      <c r="D22" s="1">
        <v>0.07048777766297373</v>
      </c>
      <c r="E22" s="1">
        <v>0.7639557123184204</v>
      </c>
      <c r="F22" s="1">
        <v>0.743821918964386</v>
      </c>
      <c r="G22" s="1">
        <v>0.7537543773651123</v>
      </c>
      <c r="H22" s="1">
        <v>0.4471968709256845</v>
      </c>
      <c r="I22" s="1">
        <v>0.14360313315926893</v>
      </c>
      <c r="J22" s="1">
        <v>0.1864406779661017</v>
      </c>
      <c r="K22" s="1">
        <v>0.2503259452411995</v>
      </c>
      <c r="L22" s="1">
        <v>0.0</v>
      </c>
      <c r="M22" s="1">
        <v>0.0</v>
      </c>
      <c r="N22" s="1">
        <v>0.7693519592285156</v>
      </c>
      <c r="O22" s="1">
        <v>0.8153265714645386</v>
      </c>
    </row>
    <row r="23" ht="15.75" customHeight="1">
      <c r="A23" s="1" t="s">
        <v>15</v>
      </c>
      <c r="B23" s="1" t="s">
        <v>16</v>
      </c>
      <c r="C23" s="1" t="s">
        <v>38</v>
      </c>
      <c r="D23" s="1">
        <v>0.05413406390974244</v>
      </c>
      <c r="E23" s="1">
        <v>0.7446399927139282</v>
      </c>
      <c r="F23" s="1">
        <v>0.7318429946899414</v>
      </c>
      <c r="G23" s="1">
        <v>0.7381860017776489</v>
      </c>
      <c r="H23" s="1">
        <v>0.4665391969407266</v>
      </c>
      <c r="I23" s="1">
        <v>0.13401403956604976</v>
      </c>
      <c r="J23" s="1">
        <v>0.1988527724665392</v>
      </c>
      <c r="K23" s="1">
        <v>0.2676864244741874</v>
      </c>
      <c r="L23" s="1">
        <v>0.0</v>
      </c>
      <c r="M23" s="1">
        <v>0.0</v>
      </c>
      <c r="N23" s="1">
        <v>0.9999999403953552</v>
      </c>
      <c r="O23" s="1">
        <v>0.8271334767341614</v>
      </c>
    </row>
    <row r="24" ht="15.75" customHeight="1">
      <c r="A24" s="1" t="s">
        <v>15</v>
      </c>
      <c r="B24" s="1" t="s">
        <v>16</v>
      </c>
      <c r="C24" s="1" t="s">
        <v>39</v>
      </c>
      <c r="D24" s="1">
        <v>0.022057001591843168</v>
      </c>
      <c r="E24" s="1">
        <v>0.7444972991943359</v>
      </c>
      <c r="F24" s="1">
        <v>0.7319907546043396</v>
      </c>
      <c r="G24" s="1">
        <v>0.7381910681724548</v>
      </c>
      <c r="H24" s="1">
        <v>0.38978102189781016</v>
      </c>
      <c r="I24" s="1">
        <v>0.11403508771929824</v>
      </c>
      <c r="J24" s="1">
        <v>0.1635036496350365</v>
      </c>
      <c r="K24" s="1">
        <v>0.22627737226277372</v>
      </c>
      <c r="L24" s="1">
        <v>0.0</v>
      </c>
      <c r="M24" s="1">
        <v>0.0</v>
      </c>
      <c r="N24" s="1">
        <v>0.9999999403953552</v>
      </c>
      <c r="O24" s="1">
        <v>0.8271334767341614</v>
      </c>
    </row>
    <row r="25" ht="15.75" customHeight="1">
      <c r="A25" s="1" t="s">
        <v>15</v>
      </c>
      <c r="B25" s="1" t="s">
        <v>16</v>
      </c>
      <c r="C25" s="1" t="s">
        <v>40</v>
      </c>
      <c r="D25" s="1">
        <v>0.03521314839243525</v>
      </c>
      <c r="E25" s="1">
        <v>0.7315559387207031</v>
      </c>
      <c r="F25" s="1">
        <v>0.7421348094940186</v>
      </c>
      <c r="G25" s="1">
        <v>0.7368074059486389</v>
      </c>
      <c r="H25" s="1">
        <v>0.42564802182810374</v>
      </c>
      <c r="I25" s="1">
        <v>0.12704918032786885</v>
      </c>
      <c r="J25" s="1">
        <v>0.17462482946793997</v>
      </c>
      <c r="K25" s="1">
        <v>0.24693042291950887</v>
      </c>
      <c r="L25" s="1">
        <v>0.0</v>
      </c>
      <c r="M25" s="1">
        <v>0.0</v>
      </c>
      <c r="N25" s="1">
        <v>0.9999999403953552</v>
      </c>
      <c r="O25" s="1">
        <v>0.8271334767341614</v>
      </c>
    </row>
    <row r="26" ht="15.75" customHeight="1">
      <c r="A26" s="1" t="s">
        <v>15</v>
      </c>
      <c r="B26" s="1" t="s">
        <v>16</v>
      </c>
      <c r="C26" s="1" t="s">
        <v>41</v>
      </c>
      <c r="D26" s="1">
        <v>0.01400133874309025</v>
      </c>
      <c r="E26" s="1">
        <v>0.7456180453300476</v>
      </c>
      <c r="F26" s="1">
        <v>0.7373365759849548</v>
      </c>
      <c r="G26" s="1">
        <v>0.7414541244506836</v>
      </c>
      <c r="H26" s="1">
        <v>0.3611940298507463</v>
      </c>
      <c r="I26" s="1">
        <v>0.10164424514200299</v>
      </c>
      <c r="J26" s="1">
        <v>0.16567164179104482</v>
      </c>
      <c r="K26" s="1">
        <v>0.21492537313432836</v>
      </c>
      <c r="L26" s="1">
        <v>0.7023138999938965</v>
      </c>
      <c r="M26" s="1">
        <v>0.6929934024810791</v>
      </c>
      <c r="N26" s="1">
        <v>0.7023138999938965</v>
      </c>
      <c r="O26" s="1">
        <v>0.6929934024810791</v>
      </c>
    </row>
    <row r="27" ht="15.75" customHeight="1">
      <c r="A27" s="1" t="s">
        <v>15</v>
      </c>
      <c r="B27" s="1" t="s">
        <v>16</v>
      </c>
      <c r="C27" s="1" t="s">
        <v>42</v>
      </c>
      <c r="D27" s="1">
        <v>0.02298249085325447</v>
      </c>
      <c r="E27" s="1">
        <v>0.7461888790130615</v>
      </c>
      <c r="F27" s="1">
        <v>0.7313482165336609</v>
      </c>
      <c r="G27" s="1">
        <v>0.7386940121650696</v>
      </c>
      <c r="H27" s="1">
        <v>0.3561046511627907</v>
      </c>
      <c r="I27" s="1">
        <v>0.09752547307132459</v>
      </c>
      <c r="J27" s="1">
        <v>0.16133720930232556</v>
      </c>
      <c r="K27" s="1">
        <v>0.21366279069767444</v>
      </c>
      <c r="L27" s="1">
        <v>0.0</v>
      </c>
      <c r="M27" s="1">
        <v>0.0</v>
      </c>
      <c r="N27" s="1">
        <v>0.7693519592285156</v>
      </c>
      <c r="O27" s="1">
        <v>0.8153265714645386</v>
      </c>
    </row>
    <row r="28" ht="15.75" customHeight="1">
      <c r="A28" s="1" t="s">
        <v>15</v>
      </c>
      <c r="B28" s="1" t="s">
        <v>16</v>
      </c>
      <c r="C28" s="1" t="s">
        <v>43</v>
      </c>
      <c r="D28" s="1">
        <v>0.02169715631552054</v>
      </c>
      <c r="E28" s="1">
        <v>0.7289597988128662</v>
      </c>
      <c r="F28" s="1">
        <v>0.7289950251579285</v>
      </c>
      <c r="G28" s="1">
        <v>0.728977382183075</v>
      </c>
      <c r="H28" s="1">
        <v>0.3567874911158494</v>
      </c>
      <c r="I28" s="1">
        <v>0.09537366548042704</v>
      </c>
      <c r="J28" s="1">
        <v>0.16062544420753375</v>
      </c>
      <c r="K28" s="1">
        <v>0.21321961620469082</v>
      </c>
      <c r="L28" s="1">
        <v>0.8271334767341614</v>
      </c>
      <c r="M28" s="1">
        <v>1.0</v>
      </c>
      <c r="N28" s="1">
        <v>0.8271334767341614</v>
      </c>
      <c r="O28" s="1">
        <v>1.0</v>
      </c>
    </row>
    <row r="29" ht="15.75" customHeight="1">
      <c r="A29" s="1" t="s">
        <v>15</v>
      </c>
      <c r="B29" s="1" t="s">
        <v>16</v>
      </c>
      <c r="C29" s="1" t="s">
        <v>44</v>
      </c>
      <c r="D29" s="1">
        <v>0.011364789157803893</v>
      </c>
      <c r="E29" s="1">
        <v>0.7512167692184448</v>
      </c>
      <c r="F29" s="1">
        <v>0.730513334274292</v>
      </c>
      <c r="G29" s="1">
        <v>0.7407204508781433</v>
      </c>
      <c r="H29" s="1">
        <v>0.31086439333862015</v>
      </c>
      <c r="I29" s="1">
        <v>0.10643367752184274</v>
      </c>
      <c r="J29" s="1">
        <v>0.1379857256145916</v>
      </c>
      <c r="K29" s="1">
        <v>0.19191118160190326</v>
      </c>
      <c r="L29" s="1">
        <v>0.0</v>
      </c>
      <c r="M29" s="1">
        <v>0.0</v>
      </c>
      <c r="N29" s="1">
        <v>0.7693519592285156</v>
      </c>
      <c r="O29" s="1">
        <v>0.8153265714645386</v>
      </c>
    </row>
    <row r="30" ht="15.75" customHeight="1">
      <c r="A30" s="1" t="s">
        <v>15</v>
      </c>
      <c r="B30" s="1" t="s">
        <v>16</v>
      </c>
      <c r="C30" s="1" t="s">
        <v>45</v>
      </c>
      <c r="D30" s="1">
        <v>0.011364789157803893</v>
      </c>
      <c r="E30" s="1">
        <v>0.7512167692184448</v>
      </c>
      <c r="F30" s="1">
        <v>0.730513334274292</v>
      </c>
      <c r="G30" s="1">
        <v>0.7407204508781433</v>
      </c>
      <c r="H30" s="1">
        <v>0.31086439333862015</v>
      </c>
      <c r="I30" s="1">
        <v>0.10643367752184274</v>
      </c>
      <c r="J30" s="1">
        <v>0.1379857256145916</v>
      </c>
      <c r="K30" s="1">
        <v>0.19191118160190326</v>
      </c>
      <c r="L30" s="1">
        <v>0.0</v>
      </c>
      <c r="M30" s="1">
        <v>0.0</v>
      </c>
      <c r="N30" s="1">
        <v>0.7693519592285156</v>
      </c>
      <c r="O30" s="1">
        <v>0.8153265714645386</v>
      </c>
    </row>
    <row r="31" ht="15.75" customHeight="1">
      <c r="A31" s="1" t="s">
        <v>15</v>
      </c>
      <c r="B31" s="1" t="s">
        <v>16</v>
      </c>
      <c r="C31" s="1" t="s">
        <v>46</v>
      </c>
      <c r="D31" s="1">
        <v>0.012332304597867511</v>
      </c>
      <c r="E31" s="1">
        <v>0.7527696490287781</v>
      </c>
      <c r="F31" s="1">
        <v>0.7336876392364502</v>
      </c>
      <c r="G31" s="1">
        <v>0.7431061267852783</v>
      </c>
      <c r="H31" s="1">
        <v>0.32238349885408707</v>
      </c>
      <c r="I31" s="1">
        <v>0.09640397857689366</v>
      </c>
      <c r="J31" s="1">
        <v>0.15278838808250572</v>
      </c>
      <c r="K31" s="1">
        <v>0.1940412528647823</v>
      </c>
      <c r="L31" s="1">
        <v>0.0</v>
      </c>
      <c r="M31" s="1">
        <v>0.0</v>
      </c>
      <c r="N31" s="1">
        <v>0.7693519592285156</v>
      </c>
      <c r="O31" s="1">
        <v>0.8153265714645386</v>
      </c>
    </row>
    <row r="32" ht="15.75" customHeight="1">
      <c r="A32" s="1" t="s">
        <v>15</v>
      </c>
      <c r="B32" s="1" t="s">
        <v>16</v>
      </c>
      <c r="C32" s="1" t="s">
        <v>47</v>
      </c>
      <c r="D32" s="1">
        <v>0.04927634657680021</v>
      </c>
      <c r="E32" s="1">
        <v>0.752001941204071</v>
      </c>
      <c r="F32" s="1">
        <v>0.7410843372344971</v>
      </c>
      <c r="G32" s="1">
        <v>0.7465032339096069</v>
      </c>
      <c r="H32" s="1">
        <v>0.414651002073255</v>
      </c>
      <c r="I32" s="1">
        <v>0.1217993079584775</v>
      </c>
      <c r="J32" s="1">
        <v>0.1741534208707671</v>
      </c>
      <c r="K32" s="1">
        <v>0.2543192812715964</v>
      </c>
      <c r="L32" s="1">
        <v>0.0</v>
      </c>
      <c r="M32" s="1">
        <v>0.0</v>
      </c>
      <c r="N32" s="1">
        <v>0.9999999403953552</v>
      </c>
      <c r="O32" s="1">
        <v>0.8271334767341614</v>
      </c>
    </row>
    <row r="33" ht="15.75" customHeight="1">
      <c r="A33" s="1" t="s">
        <v>15</v>
      </c>
      <c r="B33" s="1" t="s">
        <v>16</v>
      </c>
      <c r="C33" s="1" t="s">
        <v>48</v>
      </c>
      <c r="D33" s="1">
        <v>0.04279760114762449</v>
      </c>
      <c r="E33" s="1">
        <v>0.7547094821929932</v>
      </c>
      <c r="F33" s="1">
        <v>0.7522220611572266</v>
      </c>
      <c r="G33" s="1">
        <v>0.7534637451171875</v>
      </c>
      <c r="H33" s="1">
        <v>0.390591589451176</v>
      </c>
      <c r="I33" s="1">
        <v>0.11848679514632406</v>
      </c>
      <c r="J33" s="1">
        <v>0.16963649322879545</v>
      </c>
      <c r="K33" s="1">
        <v>0.23948681397006416</v>
      </c>
      <c r="L33" s="1">
        <v>0.7023138999938965</v>
      </c>
      <c r="M33" s="1">
        <v>0.6929934024810791</v>
      </c>
      <c r="N33" s="1">
        <v>0.7023138999938965</v>
      </c>
      <c r="O33" s="1">
        <v>0.6929934024810791</v>
      </c>
    </row>
    <row r="34" ht="15.75" customHeight="1">
      <c r="A34" s="1" t="s">
        <v>15</v>
      </c>
      <c r="B34" s="1" t="s">
        <v>16</v>
      </c>
      <c r="C34" s="1" t="s">
        <v>49</v>
      </c>
      <c r="D34" s="1">
        <v>0.034798505049129895</v>
      </c>
      <c r="E34" s="1">
        <v>0.7544933557510376</v>
      </c>
      <c r="F34" s="1">
        <v>0.7467182874679565</v>
      </c>
      <c r="G34" s="1">
        <v>0.7505857348442078</v>
      </c>
      <c r="H34" s="1">
        <v>0.3994232155731795</v>
      </c>
      <c r="I34" s="1">
        <v>0.12851985559566786</v>
      </c>
      <c r="J34" s="1">
        <v>0.16438356164383564</v>
      </c>
      <c r="K34" s="1">
        <v>0.23071377072819033</v>
      </c>
      <c r="L34" s="1">
        <v>0.0</v>
      </c>
      <c r="M34" s="1">
        <v>0.0</v>
      </c>
      <c r="N34" s="1">
        <v>0.9999999403953552</v>
      </c>
      <c r="O34" s="1">
        <v>0.8271334767341614</v>
      </c>
    </row>
    <row r="35" ht="15.75" customHeight="1">
      <c r="A35" s="1" t="s">
        <v>15</v>
      </c>
      <c r="B35" s="1" t="s">
        <v>16</v>
      </c>
      <c r="C35" s="1" t="s">
        <v>50</v>
      </c>
      <c r="D35" s="1">
        <v>0.015387035005944625</v>
      </c>
      <c r="E35" s="1">
        <v>0.6696248054504395</v>
      </c>
      <c r="F35" s="1">
        <v>0.6553096175193787</v>
      </c>
      <c r="G35" s="1">
        <v>0.6623898148536682</v>
      </c>
      <c r="H35" s="1">
        <v>0.3211446740858505</v>
      </c>
      <c r="I35" s="1">
        <v>0.10191082802547771</v>
      </c>
      <c r="J35" s="1">
        <v>0.15739268680445148</v>
      </c>
      <c r="K35" s="1">
        <v>0.1669316375198728</v>
      </c>
      <c r="L35" s="1">
        <v>0.0</v>
      </c>
      <c r="M35" s="1">
        <v>0.0</v>
      </c>
      <c r="N35" s="1">
        <v>0.8277580142021179</v>
      </c>
      <c r="O35" s="1">
        <v>0.8464414477348328</v>
      </c>
    </row>
    <row r="36" ht="15.75" customHeight="1">
      <c r="A36" s="1" t="s">
        <v>15</v>
      </c>
      <c r="B36" s="1" t="s">
        <v>16</v>
      </c>
      <c r="C36" s="1" t="s">
        <v>51</v>
      </c>
      <c r="D36" s="1">
        <v>0.015387035005944625</v>
      </c>
      <c r="E36" s="1">
        <v>0.6696248054504395</v>
      </c>
      <c r="F36" s="1">
        <v>0.6553096175193787</v>
      </c>
      <c r="G36" s="1">
        <v>0.6623898148536682</v>
      </c>
      <c r="H36" s="1">
        <v>0.3211446740858505</v>
      </c>
      <c r="I36" s="1">
        <v>0.10191082802547771</v>
      </c>
      <c r="J36" s="1">
        <v>0.15739268680445148</v>
      </c>
      <c r="K36" s="1">
        <v>0.1669316375198728</v>
      </c>
      <c r="L36" s="1">
        <v>0.0</v>
      </c>
      <c r="M36" s="1">
        <v>0.0</v>
      </c>
      <c r="N36" s="1">
        <v>0.8277580142021179</v>
      </c>
      <c r="O36" s="1">
        <v>0.8464414477348328</v>
      </c>
    </row>
    <row r="37" ht="15.75" customHeight="1">
      <c r="A37" s="1" t="s">
        <v>15</v>
      </c>
      <c r="B37" s="1" t="s">
        <v>16</v>
      </c>
      <c r="C37" s="1" t="s">
        <v>52</v>
      </c>
      <c r="D37" s="1">
        <v>0.02209940734060961</v>
      </c>
      <c r="E37" s="1">
        <v>0.7434166669845581</v>
      </c>
      <c r="F37" s="1">
        <v>0.7239258885383606</v>
      </c>
      <c r="G37" s="1">
        <v>0.7335417866706848</v>
      </c>
      <c r="H37" s="1">
        <v>0.35752482811306335</v>
      </c>
      <c r="I37" s="1">
        <v>0.10711553175210405</v>
      </c>
      <c r="J37" s="1">
        <v>0.16042780748663102</v>
      </c>
      <c r="K37" s="1">
        <v>0.21237585943468298</v>
      </c>
      <c r="L37" s="1">
        <v>0.0</v>
      </c>
      <c r="M37" s="1">
        <v>0.0</v>
      </c>
      <c r="N37" s="1">
        <v>0.8277580142021179</v>
      </c>
      <c r="O37" s="1">
        <v>0.8464414477348328</v>
      </c>
    </row>
    <row r="38" ht="15.75" customHeight="1">
      <c r="A38" s="1" t="s">
        <v>15</v>
      </c>
      <c r="B38" s="1" t="s">
        <v>16</v>
      </c>
      <c r="C38" s="1" t="s">
        <v>53</v>
      </c>
      <c r="D38" s="1">
        <v>0.04692241859547186</v>
      </c>
      <c r="E38" s="1">
        <v>0.7507194876670837</v>
      </c>
      <c r="F38" s="1">
        <v>0.7514522075653076</v>
      </c>
      <c r="G38" s="1">
        <v>0.751085638999939</v>
      </c>
      <c r="H38" s="1">
        <v>0.4836775483011326</v>
      </c>
      <c r="I38" s="1">
        <v>0.15743829219479655</v>
      </c>
      <c r="J38" s="1">
        <v>0.19187208527648233</v>
      </c>
      <c r="K38" s="1">
        <v>0.2638241172551632</v>
      </c>
      <c r="L38" s="1">
        <v>0.0</v>
      </c>
      <c r="M38" s="1">
        <v>0.0</v>
      </c>
      <c r="N38" s="1">
        <v>0.9999999403953552</v>
      </c>
      <c r="O38" s="1">
        <v>0.8271334767341614</v>
      </c>
    </row>
    <row r="39" ht="15.75" customHeight="1">
      <c r="A39" s="1" t="s">
        <v>15</v>
      </c>
      <c r="B39" s="1" t="s">
        <v>16</v>
      </c>
      <c r="C39" s="1" t="s">
        <v>54</v>
      </c>
      <c r="D39" s="1">
        <v>0.07871670134589397</v>
      </c>
      <c r="E39" s="1">
        <v>0.7515832185745239</v>
      </c>
      <c r="F39" s="1">
        <v>0.7525502443313599</v>
      </c>
      <c r="G39" s="1">
        <v>0.752066433429718</v>
      </c>
      <c r="H39" s="1">
        <v>0.5248651887357699</v>
      </c>
      <c r="I39" s="1">
        <v>0.16916616676664667</v>
      </c>
      <c r="J39" s="1">
        <v>0.18454164170161774</v>
      </c>
      <c r="K39" s="1">
        <v>0.2660275614140204</v>
      </c>
      <c r="L39" s="1">
        <v>0.0</v>
      </c>
      <c r="M39" s="1">
        <v>0.0</v>
      </c>
      <c r="N39" s="1">
        <v>0.9999999403953552</v>
      </c>
      <c r="O39" s="1">
        <v>0.8271334767341614</v>
      </c>
    </row>
    <row r="40" ht="15.75" customHeight="1">
      <c r="A40" s="1" t="s">
        <v>15</v>
      </c>
      <c r="B40" s="1" t="s">
        <v>16</v>
      </c>
      <c r="C40" s="1" t="s">
        <v>55</v>
      </c>
      <c r="D40" s="1">
        <v>0.07654756714766117</v>
      </c>
      <c r="E40" s="1">
        <v>0.7549675703048706</v>
      </c>
      <c r="F40" s="1">
        <v>0.747463583946228</v>
      </c>
      <c r="G40" s="1">
        <v>0.7511968612670898</v>
      </c>
      <c r="H40" s="1">
        <v>0.5019011406844106</v>
      </c>
      <c r="I40" s="1">
        <v>0.16243654822335027</v>
      </c>
      <c r="J40" s="1">
        <v>0.19011406844106463</v>
      </c>
      <c r="K40" s="1">
        <v>0.2801013941698352</v>
      </c>
      <c r="L40" s="1">
        <v>0.0</v>
      </c>
      <c r="M40" s="1">
        <v>0.0</v>
      </c>
      <c r="N40" s="1">
        <v>0.9999999403953552</v>
      </c>
      <c r="O40" s="1">
        <v>0.8271334767341614</v>
      </c>
    </row>
    <row r="41" ht="15.75" customHeight="1">
      <c r="A41" s="1" t="s">
        <v>56</v>
      </c>
      <c r="B41" s="1" t="s">
        <v>16</v>
      </c>
      <c r="C41" s="1" t="s">
        <v>17</v>
      </c>
      <c r="D41" s="1">
        <v>0.06207455062398891</v>
      </c>
      <c r="E41" s="1">
        <v>0.7311623096466064</v>
      </c>
      <c r="F41" s="1">
        <v>0.7167307138442993</v>
      </c>
      <c r="G41" s="1">
        <v>0.723874568939209</v>
      </c>
      <c r="H41" s="1">
        <v>0.4803229061553986</v>
      </c>
      <c r="I41" s="1">
        <v>0.14444444444444443</v>
      </c>
      <c r="J41" s="1">
        <v>0.18365287588294651</v>
      </c>
      <c r="K41" s="1">
        <v>0.25529767911200807</v>
      </c>
      <c r="L41" s="1">
        <v>0.0</v>
      </c>
      <c r="M41" s="1">
        <v>0.0</v>
      </c>
      <c r="N41" s="1">
        <v>0.9999999403953552</v>
      </c>
      <c r="O41" s="1">
        <v>0.5545380711555481</v>
      </c>
    </row>
    <row r="42" ht="15.75" customHeight="1">
      <c r="A42" s="1" t="s">
        <v>56</v>
      </c>
      <c r="B42" s="1" t="s">
        <v>16</v>
      </c>
      <c r="C42" s="1" t="s">
        <v>18</v>
      </c>
      <c r="D42" s="1">
        <v>0.06266801524210852</v>
      </c>
      <c r="E42" s="1">
        <v>0.737136721611023</v>
      </c>
      <c r="F42" s="1">
        <v>0.7205666303634644</v>
      </c>
      <c r="G42" s="1">
        <v>0.7287575006484985</v>
      </c>
      <c r="H42" s="1">
        <v>0.47935548841893255</v>
      </c>
      <c r="I42" s="1">
        <v>0.14112903225806453</v>
      </c>
      <c r="J42" s="1">
        <v>0.18429003021148035</v>
      </c>
      <c r="K42" s="1">
        <v>0.24974823766364548</v>
      </c>
      <c r="L42" s="1">
        <v>0.0</v>
      </c>
      <c r="M42" s="1">
        <v>0.0</v>
      </c>
      <c r="N42" s="1">
        <v>0.9999999403953552</v>
      </c>
      <c r="O42" s="1">
        <v>0.5545380711555481</v>
      </c>
    </row>
    <row r="43" ht="15.75" customHeight="1">
      <c r="A43" s="1" t="s">
        <v>56</v>
      </c>
      <c r="B43" s="1" t="s">
        <v>16</v>
      </c>
      <c r="C43" s="1" t="s">
        <v>19</v>
      </c>
      <c r="D43" s="1">
        <v>0.05428635707246909</v>
      </c>
      <c r="E43" s="1">
        <v>0.7312397956848145</v>
      </c>
      <c r="F43" s="1">
        <v>0.713051974773407</v>
      </c>
      <c r="G43" s="1">
        <v>0.72203129529953</v>
      </c>
      <c r="H43" s="1">
        <v>0.4671052631578948</v>
      </c>
      <c r="I43" s="1">
        <v>0.1279397930385701</v>
      </c>
      <c r="J43" s="1">
        <v>0.17481203007518797</v>
      </c>
      <c r="K43" s="1">
        <v>0.2565789473684211</v>
      </c>
      <c r="L43" s="1">
        <v>0.0</v>
      </c>
      <c r="M43" s="1">
        <v>0.0</v>
      </c>
      <c r="N43" s="1">
        <v>0.9999999403953552</v>
      </c>
      <c r="O43" s="1">
        <v>0.5545380711555481</v>
      </c>
    </row>
    <row r="44" ht="15.75" customHeight="1">
      <c r="A44" s="1" t="s">
        <v>56</v>
      </c>
      <c r="B44" s="1" t="s">
        <v>16</v>
      </c>
      <c r="C44" s="1" t="s">
        <v>20</v>
      </c>
      <c r="D44" s="1">
        <v>0.04869662287479269</v>
      </c>
      <c r="E44" s="1">
        <v>0.7141472101211548</v>
      </c>
      <c r="F44" s="1">
        <v>0.6972258687019348</v>
      </c>
      <c r="G44" s="1">
        <v>0.7055850625038147</v>
      </c>
      <c r="H44" s="1">
        <v>0.4552745219000616</v>
      </c>
      <c r="I44" s="1">
        <v>0.12353304508956146</v>
      </c>
      <c r="J44" s="1">
        <v>0.17396668723010486</v>
      </c>
      <c r="K44" s="1">
        <v>0.27760641579272055</v>
      </c>
      <c r="L44" s="1">
        <v>0.0</v>
      </c>
      <c r="M44" s="1">
        <v>0.0</v>
      </c>
      <c r="N44" s="1">
        <v>0.9999999403953552</v>
      </c>
      <c r="O44" s="1">
        <v>0.5545380711555481</v>
      </c>
    </row>
    <row r="45" ht="15.75" customHeight="1">
      <c r="A45" s="1" t="s">
        <v>56</v>
      </c>
      <c r="B45" s="1" t="s">
        <v>16</v>
      </c>
      <c r="C45" s="1" t="s">
        <v>21</v>
      </c>
      <c r="D45" s="1">
        <v>0.05895891767456932</v>
      </c>
      <c r="E45" s="1">
        <v>0.7172750234603882</v>
      </c>
      <c r="F45" s="1">
        <v>0.708884596824646</v>
      </c>
      <c r="G45" s="1">
        <v>0.7130551338195801</v>
      </c>
      <c r="H45" s="1">
        <v>0.4737772539776075</v>
      </c>
      <c r="I45" s="1">
        <v>0.11563421828908556</v>
      </c>
      <c r="J45" s="1">
        <v>0.19210371243370655</v>
      </c>
      <c r="K45" s="1">
        <v>0.27578078962875663</v>
      </c>
      <c r="L45" s="1">
        <v>0.0</v>
      </c>
      <c r="M45" s="1">
        <v>0.0</v>
      </c>
      <c r="N45" s="1">
        <v>0.9999999403953552</v>
      </c>
      <c r="O45" s="1">
        <v>0.5545380711555481</v>
      </c>
    </row>
    <row r="46" ht="15.75" customHeight="1">
      <c r="A46" s="1" t="s">
        <v>56</v>
      </c>
      <c r="B46" s="1" t="s">
        <v>16</v>
      </c>
      <c r="C46" s="1" t="s">
        <v>22</v>
      </c>
      <c r="D46" s="1">
        <v>0.04462786051827514</v>
      </c>
      <c r="E46" s="1">
        <v>0.7275570631027222</v>
      </c>
      <c r="F46" s="1">
        <v>0.7079843878746033</v>
      </c>
      <c r="G46" s="1">
        <v>0.7176373600959778</v>
      </c>
      <c r="H46" s="1">
        <v>0.46191346739792816</v>
      </c>
      <c r="I46" s="1">
        <v>0.10250152532031727</v>
      </c>
      <c r="J46" s="1">
        <v>0.18037781840341255</v>
      </c>
      <c r="K46" s="1">
        <v>0.26447288238878736</v>
      </c>
      <c r="L46" s="1">
        <v>0.0</v>
      </c>
      <c r="M46" s="1">
        <v>0.0</v>
      </c>
      <c r="N46" s="1">
        <v>0.9999999403953552</v>
      </c>
      <c r="O46" s="1">
        <v>0.5545380711555481</v>
      </c>
    </row>
    <row r="47" ht="15.75" customHeight="1">
      <c r="A47" s="1" t="s">
        <v>56</v>
      </c>
      <c r="B47" s="1" t="s">
        <v>16</v>
      </c>
      <c r="C47" s="1" t="s">
        <v>23</v>
      </c>
      <c r="D47" s="1">
        <v>0.034471011491698775</v>
      </c>
      <c r="E47" s="1">
        <v>0.7212876677513123</v>
      </c>
      <c r="F47" s="1">
        <v>0.7010066509246826</v>
      </c>
      <c r="G47" s="1">
        <v>0.71100252866745</v>
      </c>
      <c r="H47" s="1">
        <v>0.4301494476933073</v>
      </c>
      <c r="I47" s="1">
        <v>0.09759271307742355</v>
      </c>
      <c r="J47" s="1">
        <v>0.1728395061728395</v>
      </c>
      <c r="K47" s="1">
        <v>0.26120857699805067</v>
      </c>
      <c r="L47" s="1">
        <v>0.0</v>
      </c>
      <c r="M47" s="1">
        <v>0.0</v>
      </c>
      <c r="N47" s="1">
        <v>0.9999999403953552</v>
      </c>
      <c r="O47" s="1">
        <v>0.5545380711555481</v>
      </c>
    </row>
    <row r="48" ht="15.75" customHeight="1">
      <c r="A48" s="1" t="s">
        <v>56</v>
      </c>
      <c r="B48" s="1" t="s">
        <v>16</v>
      </c>
      <c r="C48" s="1" t="s">
        <v>24</v>
      </c>
      <c r="D48" s="1">
        <v>0.03503918577558686</v>
      </c>
      <c r="E48" s="1">
        <v>0.7242181301116943</v>
      </c>
      <c r="F48" s="1">
        <v>0.7014703750610352</v>
      </c>
      <c r="G48" s="1">
        <v>0.7126627564430237</v>
      </c>
      <c r="H48" s="1">
        <v>0.4246395806028834</v>
      </c>
      <c r="I48" s="1">
        <v>0.09973753280839895</v>
      </c>
      <c r="J48" s="1">
        <v>0.1730013106159895</v>
      </c>
      <c r="K48" s="1">
        <v>0.254259501965924</v>
      </c>
      <c r="L48" s="1">
        <v>0.0</v>
      </c>
      <c r="M48" s="1">
        <v>0.0</v>
      </c>
      <c r="N48" s="1">
        <v>0.9999999403953552</v>
      </c>
      <c r="O48" s="1">
        <v>0.5545380711555481</v>
      </c>
    </row>
    <row r="49" ht="15.75" customHeight="1">
      <c r="A49" s="1" t="s">
        <v>56</v>
      </c>
      <c r="B49" s="1" t="s">
        <v>16</v>
      </c>
      <c r="C49" s="1" t="s">
        <v>25</v>
      </c>
      <c r="D49" s="1">
        <v>0.03503918577558686</v>
      </c>
      <c r="E49" s="1">
        <v>0.7242181301116943</v>
      </c>
      <c r="F49" s="1">
        <v>0.7014703750610352</v>
      </c>
      <c r="G49" s="1">
        <v>0.7126627564430237</v>
      </c>
      <c r="H49" s="1">
        <v>0.4246395806028834</v>
      </c>
      <c r="I49" s="1">
        <v>0.09973753280839895</v>
      </c>
      <c r="J49" s="1">
        <v>0.1730013106159895</v>
      </c>
      <c r="K49" s="1">
        <v>0.254259501965924</v>
      </c>
      <c r="L49" s="1">
        <v>0.0</v>
      </c>
      <c r="M49" s="1">
        <v>0.0</v>
      </c>
      <c r="N49" s="1">
        <v>0.9999999403953552</v>
      </c>
      <c r="O49" s="1">
        <v>0.5545380711555481</v>
      </c>
    </row>
    <row r="50" ht="15.75" customHeight="1">
      <c r="A50" s="1" t="s">
        <v>56</v>
      </c>
      <c r="B50" s="1" t="s">
        <v>16</v>
      </c>
      <c r="C50" s="1" t="s">
        <v>26</v>
      </c>
      <c r="D50" s="1">
        <v>0.045429399813521634</v>
      </c>
      <c r="E50" s="1">
        <v>0.7298762202262878</v>
      </c>
      <c r="F50" s="1">
        <v>0.7077732086181641</v>
      </c>
      <c r="G50" s="1">
        <v>0.7186548113822937</v>
      </c>
      <c r="H50" s="1">
        <v>0.4606299212598425</v>
      </c>
      <c r="I50" s="1">
        <v>0.11038107752956637</v>
      </c>
      <c r="J50" s="1">
        <v>0.1968503937007874</v>
      </c>
      <c r="K50" s="1">
        <v>0.2598425196850394</v>
      </c>
      <c r="L50" s="1">
        <v>0.0</v>
      </c>
      <c r="M50" s="1">
        <v>0.0</v>
      </c>
      <c r="N50" s="1">
        <v>0.9999999403953552</v>
      </c>
      <c r="O50" s="1">
        <v>0.5545380711555481</v>
      </c>
    </row>
    <row r="51" ht="15.75" customHeight="1">
      <c r="A51" s="1" t="s">
        <v>56</v>
      </c>
      <c r="B51" s="1" t="s">
        <v>16</v>
      </c>
      <c r="C51" s="1" t="s">
        <v>27</v>
      </c>
      <c r="D51" s="1">
        <v>0.04546954866788666</v>
      </c>
      <c r="E51" s="1">
        <v>0.7317137122154236</v>
      </c>
      <c r="F51" s="1">
        <v>0.7089313268661499</v>
      </c>
      <c r="G51" s="1">
        <v>0.7201423645019531</v>
      </c>
      <c r="H51" s="1">
        <v>0.462853385930309</v>
      </c>
      <c r="I51" s="1">
        <v>0.11059907834101382</v>
      </c>
      <c r="J51" s="1">
        <v>0.19723865877712032</v>
      </c>
      <c r="K51" s="1">
        <v>0.2590401051939514</v>
      </c>
      <c r="L51" s="1">
        <v>0.0</v>
      </c>
      <c r="M51" s="1">
        <v>0.0</v>
      </c>
      <c r="N51" s="1">
        <v>0.9999999403953552</v>
      </c>
      <c r="O51" s="1">
        <v>0.5545380711555481</v>
      </c>
    </row>
    <row r="52" ht="15.75" customHeight="1">
      <c r="A52" s="1" t="s">
        <v>56</v>
      </c>
      <c r="B52" s="1" t="s">
        <v>16</v>
      </c>
      <c r="C52" s="1" t="s">
        <v>28</v>
      </c>
      <c r="D52" s="1">
        <v>0.04214749408586612</v>
      </c>
      <c r="E52" s="1">
        <v>0.7313814163208008</v>
      </c>
      <c r="F52" s="1">
        <v>0.7093085050582886</v>
      </c>
      <c r="G52" s="1">
        <v>0.7201758623123169</v>
      </c>
      <c r="H52" s="1">
        <v>0.45454545454545453</v>
      </c>
      <c r="I52" s="1">
        <v>0.11141304347826088</v>
      </c>
      <c r="J52" s="1">
        <v>0.19131614654002715</v>
      </c>
      <c r="K52" s="1">
        <v>0.25508819538670285</v>
      </c>
      <c r="L52" s="1">
        <v>0.0</v>
      </c>
      <c r="M52" s="1">
        <v>0.0</v>
      </c>
      <c r="N52" s="1">
        <v>0.9999999403953552</v>
      </c>
      <c r="O52" s="1">
        <v>0.5545380711555481</v>
      </c>
    </row>
    <row r="53" ht="15.75" customHeight="1">
      <c r="A53" s="1" t="s">
        <v>56</v>
      </c>
      <c r="B53" s="1" t="s">
        <v>16</v>
      </c>
      <c r="C53" s="1" t="s">
        <v>29</v>
      </c>
      <c r="D53" s="1">
        <v>0.040185484295633275</v>
      </c>
      <c r="E53" s="1">
        <v>0.7201623916625977</v>
      </c>
      <c r="F53" s="1">
        <v>0.7000766396522522</v>
      </c>
      <c r="G53" s="1">
        <v>0.7099775075912476</v>
      </c>
      <c r="H53" s="1">
        <v>0.43061605476042314</v>
      </c>
      <c r="I53" s="1">
        <v>0.10841121495327102</v>
      </c>
      <c r="J53" s="1">
        <v>0.18419415059116365</v>
      </c>
      <c r="K53" s="1">
        <v>0.25015556938394523</v>
      </c>
      <c r="L53" s="1">
        <v>0.0</v>
      </c>
      <c r="M53" s="1">
        <v>0.0</v>
      </c>
      <c r="N53" s="1">
        <v>0.9999999403953552</v>
      </c>
      <c r="O53" s="1">
        <v>0.5545380711555481</v>
      </c>
    </row>
    <row r="54" ht="15.75" customHeight="1">
      <c r="A54" s="1" t="s">
        <v>56</v>
      </c>
      <c r="B54" s="1" t="s">
        <v>16</v>
      </c>
      <c r="C54" s="1" t="s">
        <v>30</v>
      </c>
      <c r="D54" s="1">
        <v>0.0341904752770406</v>
      </c>
      <c r="E54" s="1">
        <v>0.7186017036437988</v>
      </c>
      <c r="F54" s="1">
        <v>0.6985806226730347</v>
      </c>
      <c r="G54" s="1">
        <v>0.7084497213363647</v>
      </c>
      <c r="H54" s="1">
        <v>0.39972432804962094</v>
      </c>
      <c r="I54" s="1">
        <v>0.10213940648723258</v>
      </c>
      <c r="J54" s="1">
        <v>0.18056512749827705</v>
      </c>
      <c r="K54" s="1">
        <v>0.22742935906271536</v>
      </c>
      <c r="L54" s="1">
        <v>0.0</v>
      </c>
      <c r="M54" s="1">
        <v>0.0</v>
      </c>
      <c r="N54" s="1">
        <v>0.7693519592285156</v>
      </c>
      <c r="O54" s="1">
        <v>0.48749488592147827</v>
      </c>
    </row>
    <row r="55" ht="15.75" customHeight="1">
      <c r="A55" s="1" t="s">
        <v>56</v>
      </c>
      <c r="B55" s="1" t="s">
        <v>16</v>
      </c>
      <c r="C55" s="1" t="s">
        <v>31</v>
      </c>
      <c r="D55" s="1">
        <v>0.03763141529492282</v>
      </c>
      <c r="E55" s="1">
        <v>0.7247536182403564</v>
      </c>
      <c r="F55" s="1">
        <v>0.6948766708374023</v>
      </c>
      <c r="G55" s="1">
        <v>0.7095007300376892</v>
      </c>
      <c r="H55" s="1">
        <v>0.39193884642112575</v>
      </c>
      <c r="I55" s="1">
        <v>0.10716771050800279</v>
      </c>
      <c r="J55" s="1">
        <v>0.1834607366226546</v>
      </c>
      <c r="K55" s="1">
        <v>0.2237665045170257</v>
      </c>
      <c r="L55" s="1">
        <v>0.0</v>
      </c>
      <c r="M55" s="1">
        <v>0.0</v>
      </c>
      <c r="N55" s="1">
        <v>0.9999999403953552</v>
      </c>
      <c r="O55" s="1">
        <v>0.5545380711555481</v>
      </c>
    </row>
    <row r="56" ht="15.75" customHeight="1">
      <c r="A56" s="1" t="s">
        <v>56</v>
      </c>
      <c r="B56" s="1" t="s">
        <v>16</v>
      </c>
      <c r="C56" s="1" t="s">
        <v>32</v>
      </c>
      <c r="D56" s="1">
        <v>0.023412627970701472</v>
      </c>
      <c r="E56" s="1">
        <v>0.7151515483856201</v>
      </c>
      <c r="F56" s="1">
        <v>0.6936314105987549</v>
      </c>
      <c r="G56" s="1">
        <v>0.704227089881897</v>
      </c>
      <c r="H56" s="1">
        <v>0.46055979643765904</v>
      </c>
      <c r="I56" s="1">
        <v>0.10573248407643313</v>
      </c>
      <c r="J56" s="1">
        <v>0.1984732824427481</v>
      </c>
      <c r="K56" s="1">
        <v>0.23536895674300254</v>
      </c>
      <c r="L56" s="1">
        <v>0.0</v>
      </c>
      <c r="M56" s="1">
        <v>0.0</v>
      </c>
      <c r="N56" s="1">
        <v>0.9999999403953552</v>
      </c>
      <c r="O56" s="1">
        <v>0.5545380711555481</v>
      </c>
    </row>
    <row r="57" ht="15.75" customHeight="1">
      <c r="A57" s="1" t="s">
        <v>56</v>
      </c>
      <c r="B57" s="1" t="s">
        <v>16</v>
      </c>
      <c r="C57" s="1" t="s">
        <v>33</v>
      </c>
      <c r="D57" s="1">
        <v>0.021649836105082264</v>
      </c>
      <c r="E57" s="1">
        <v>0.7151515483856201</v>
      </c>
      <c r="F57" s="1">
        <v>0.6936314105987549</v>
      </c>
      <c r="G57" s="1">
        <v>0.704227089881897</v>
      </c>
      <c r="H57" s="1">
        <v>0.4504983388704319</v>
      </c>
      <c r="I57" s="1">
        <v>0.10645375914836994</v>
      </c>
      <c r="J57" s="1">
        <v>0.20066445182724252</v>
      </c>
      <c r="K57" s="1">
        <v>0.2272425249169435</v>
      </c>
      <c r="L57" s="1">
        <v>0.0</v>
      </c>
      <c r="M57" s="1">
        <v>0.0</v>
      </c>
      <c r="N57" s="1">
        <v>0.9999999403953552</v>
      </c>
      <c r="O57" s="1">
        <v>0.5545380711555481</v>
      </c>
    </row>
    <row r="58" ht="15.75" customHeight="1">
      <c r="A58" s="1" t="s">
        <v>56</v>
      </c>
      <c r="B58" s="1" t="s">
        <v>16</v>
      </c>
      <c r="C58" s="1" t="s">
        <v>34</v>
      </c>
      <c r="D58" s="1">
        <v>0.018599705620876286</v>
      </c>
      <c r="E58" s="1">
        <v>0.7199512720108032</v>
      </c>
      <c r="F58" s="1">
        <v>0.6979568600654602</v>
      </c>
      <c r="G58" s="1">
        <v>0.7087834477424622</v>
      </c>
      <c r="H58" s="1">
        <v>0.4373702422145329</v>
      </c>
      <c r="I58" s="1">
        <v>0.10672210672210673</v>
      </c>
      <c r="J58" s="1">
        <v>0.19515570934256057</v>
      </c>
      <c r="K58" s="1">
        <v>0.23667820069204154</v>
      </c>
      <c r="L58" s="1">
        <v>0.0</v>
      </c>
      <c r="M58" s="1">
        <v>0.0</v>
      </c>
      <c r="N58" s="1">
        <v>0.9999999403953552</v>
      </c>
      <c r="O58" s="1">
        <v>0.5545380711555481</v>
      </c>
    </row>
    <row r="59" ht="15.75" customHeight="1">
      <c r="A59" s="1" t="s">
        <v>56</v>
      </c>
      <c r="B59" s="1" t="s">
        <v>16</v>
      </c>
      <c r="C59" s="1" t="s">
        <v>35</v>
      </c>
      <c r="D59" s="1">
        <v>0.018045276115735802</v>
      </c>
      <c r="E59" s="1">
        <v>0.7162473201751709</v>
      </c>
      <c r="F59" s="1">
        <v>0.6916202902793884</v>
      </c>
      <c r="G59" s="1">
        <v>0.7037184238433838</v>
      </c>
      <c r="H59" s="1">
        <v>0.37230081906180196</v>
      </c>
      <c r="I59" s="1">
        <v>0.09545115585384042</v>
      </c>
      <c r="J59" s="1">
        <v>0.16232315711094564</v>
      </c>
      <c r="K59" s="1">
        <v>0.2144452717795979</v>
      </c>
      <c r="L59" s="1">
        <v>0.0</v>
      </c>
      <c r="M59" s="1">
        <v>0.0</v>
      </c>
      <c r="N59" s="1">
        <v>0.9999999403953552</v>
      </c>
      <c r="O59" s="1">
        <v>0.5545380711555481</v>
      </c>
    </row>
    <row r="60" ht="15.75" customHeight="1">
      <c r="A60" s="1" t="s">
        <v>56</v>
      </c>
      <c r="B60" s="1" t="s">
        <v>16</v>
      </c>
      <c r="C60" s="1" t="s">
        <v>36</v>
      </c>
      <c r="D60" s="1">
        <v>0.040168804612485134</v>
      </c>
      <c r="E60" s="1">
        <v>0.7327108383178711</v>
      </c>
      <c r="F60" s="1">
        <v>0.7071280479431152</v>
      </c>
      <c r="G60" s="1">
        <v>0.7196921706199646</v>
      </c>
      <c r="H60" s="1">
        <v>0.3985865724381626</v>
      </c>
      <c r="I60" s="1">
        <v>0.11606510969568296</v>
      </c>
      <c r="J60" s="1">
        <v>0.18091872791519434</v>
      </c>
      <c r="K60" s="1">
        <v>0.23321554770318023</v>
      </c>
      <c r="L60" s="1">
        <v>0.0</v>
      </c>
      <c r="M60" s="1">
        <v>0.0</v>
      </c>
      <c r="N60" s="1">
        <v>0.9999999403953552</v>
      </c>
      <c r="O60" s="1">
        <v>0.5545380711555481</v>
      </c>
    </row>
    <row r="61" ht="15.75" customHeight="1">
      <c r="A61" s="1" t="s">
        <v>56</v>
      </c>
      <c r="B61" s="1" t="s">
        <v>16</v>
      </c>
      <c r="C61" s="1" t="s">
        <v>37</v>
      </c>
      <c r="D61" s="1">
        <v>0.045682240544106266</v>
      </c>
      <c r="E61" s="1">
        <v>0.7391147017478943</v>
      </c>
      <c r="F61" s="1">
        <v>0.7043507099151611</v>
      </c>
      <c r="G61" s="1">
        <v>0.7213140726089478</v>
      </c>
      <c r="H61" s="1">
        <v>0.4067340067340067</v>
      </c>
      <c r="I61" s="1">
        <v>0.1078894133513149</v>
      </c>
      <c r="J61" s="1">
        <v>0.17643097643097644</v>
      </c>
      <c r="K61" s="1">
        <v>0.24107744107744106</v>
      </c>
      <c r="L61" s="1">
        <v>0.0</v>
      </c>
      <c r="M61" s="1">
        <v>0.0</v>
      </c>
      <c r="N61" s="1">
        <v>0.7693519592285156</v>
      </c>
      <c r="O61" s="1">
        <v>0.48749488592147827</v>
      </c>
    </row>
    <row r="62" ht="15.75" customHeight="1">
      <c r="A62" s="1" t="s">
        <v>56</v>
      </c>
      <c r="B62" s="1" t="s">
        <v>16</v>
      </c>
      <c r="C62" s="1" t="s">
        <v>38</v>
      </c>
      <c r="D62" s="1">
        <v>0.037865319901855786</v>
      </c>
      <c r="E62" s="1">
        <v>0.7263250350952148</v>
      </c>
      <c r="F62" s="1">
        <v>0.700615644454956</v>
      </c>
      <c r="G62" s="1">
        <v>0.7132387161254883</v>
      </c>
      <c r="H62" s="1">
        <v>0.4447368421052631</v>
      </c>
      <c r="I62" s="1">
        <v>0.11462450592885375</v>
      </c>
      <c r="J62" s="1">
        <v>0.17894736842105263</v>
      </c>
      <c r="K62" s="1">
        <v>0.2552631578947368</v>
      </c>
      <c r="L62" s="1">
        <v>0.0</v>
      </c>
      <c r="M62" s="1">
        <v>0.0</v>
      </c>
      <c r="N62" s="1">
        <v>0.9999999403953552</v>
      </c>
      <c r="O62" s="1">
        <v>0.5545380711555481</v>
      </c>
    </row>
    <row r="63" ht="15.75" customHeight="1">
      <c r="A63" s="1" t="s">
        <v>56</v>
      </c>
      <c r="B63" s="1" t="s">
        <v>16</v>
      </c>
      <c r="C63" s="1" t="s">
        <v>39</v>
      </c>
      <c r="D63" s="1">
        <v>0.020104205959762405</v>
      </c>
      <c r="E63" s="1">
        <v>0.7262144088745117</v>
      </c>
      <c r="F63" s="1">
        <v>0.7005500793457031</v>
      </c>
      <c r="G63" s="1">
        <v>0.7131513953208923</v>
      </c>
      <c r="H63" s="1">
        <v>0.37395912187736563</v>
      </c>
      <c r="I63" s="1">
        <v>0.10462471569370733</v>
      </c>
      <c r="J63" s="1">
        <v>0.16654049962149886</v>
      </c>
      <c r="K63" s="1">
        <v>0.21801665404996215</v>
      </c>
      <c r="L63" s="1">
        <v>0.0</v>
      </c>
      <c r="M63" s="1">
        <v>0.0</v>
      </c>
      <c r="N63" s="1">
        <v>0.9999999403953552</v>
      </c>
      <c r="O63" s="1">
        <v>0.5545380711555481</v>
      </c>
    </row>
    <row r="64" ht="15.75" customHeight="1">
      <c r="A64" s="1" t="s">
        <v>56</v>
      </c>
      <c r="B64" s="1" t="s">
        <v>16</v>
      </c>
      <c r="C64" s="1" t="s">
        <v>40</v>
      </c>
      <c r="D64" s="1">
        <v>0.020553178852711892</v>
      </c>
      <c r="E64" s="1">
        <v>0.7230567336082458</v>
      </c>
      <c r="F64" s="1">
        <v>0.7058015465736389</v>
      </c>
      <c r="G64" s="1">
        <v>0.714324951171875</v>
      </c>
      <c r="H64" s="1">
        <v>0.3895553987297107</v>
      </c>
      <c r="I64" s="1">
        <v>0.08480565371024734</v>
      </c>
      <c r="J64" s="1">
        <v>0.17360621030345802</v>
      </c>
      <c r="K64" s="1">
        <v>0.2328863796753705</v>
      </c>
      <c r="L64" s="1">
        <v>0.0</v>
      </c>
      <c r="M64" s="1">
        <v>0.0</v>
      </c>
      <c r="N64" s="1">
        <v>0.9999999403953552</v>
      </c>
      <c r="O64" s="1">
        <v>0.5545380711555481</v>
      </c>
    </row>
    <row r="65" ht="15.75" customHeight="1">
      <c r="A65" s="1" t="s">
        <v>56</v>
      </c>
      <c r="B65" s="1" t="s">
        <v>16</v>
      </c>
      <c r="C65" s="1" t="s">
        <v>41</v>
      </c>
      <c r="D65" s="1">
        <v>0.010740672090066503</v>
      </c>
      <c r="E65" s="1">
        <v>0.7153716087341309</v>
      </c>
      <c r="F65" s="1">
        <v>0.7016189098358154</v>
      </c>
      <c r="G65" s="1">
        <v>0.7084285020828247</v>
      </c>
      <c r="H65" s="1">
        <v>0.33152594887683967</v>
      </c>
      <c r="I65" s="1">
        <v>0.057408844065166796</v>
      </c>
      <c r="J65" s="1">
        <v>0.15956622773044152</v>
      </c>
      <c r="K65" s="1">
        <v>0.21068938807126256</v>
      </c>
      <c r="L65" s="1">
        <v>0.7023138999938965</v>
      </c>
      <c r="M65" s="1">
        <v>0.6429824233055115</v>
      </c>
      <c r="N65" s="1">
        <v>0.7023138999938965</v>
      </c>
      <c r="O65" s="1">
        <v>0.6429824233055115</v>
      </c>
    </row>
    <row r="66" ht="15.75" customHeight="1">
      <c r="A66" s="1" t="s">
        <v>56</v>
      </c>
      <c r="B66" s="1" t="s">
        <v>16</v>
      </c>
      <c r="C66" s="1" t="s">
        <v>42</v>
      </c>
      <c r="D66" s="1">
        <v>0.02348984272603956</v>
      </c>
      <c r="E66" s="1">
        <v>0.7359343767166138</v>
      </c>
      <c r="F66" s="1">
        <v>0.699051022529602</v>
      </c>
      <c r="G66" s="1">
        <v>0.7170186638832092</v>
      </c>
      <c r="H66" s="1">
        <v>0.3225320271288621</v>
      </c>
      <c r="I66" s="1">
        <v>0.07849056603773585</v>
      </c>
      <c r="J66" s="1">
        <v>0.15825169555388094</v>
      </c>
      <c r="K66" s="1">
        <v>0.19894498869630745</v>
      </c>
      <c r="L66" s="1">
        <v>0.0</v>
      </c>
      <c r="M66" s="1">
        <v>0.0</v>
      </c>
      <c r="N66" s="1">
        <v>0.7693519592285156</v>
      </c>
      <c r="O66" s="1">
        <v>0.48749488592147827</v>
      </c>
    </row>
    <row r="67" ht="15.75" customHeight="1">
      <c r="A67" s="1" t="s">
        <v>56</v>
      </c>
      <c r="B67" s="1" t="s">
        <v>16</v>
      </c>
      <c r="C67" s="1" t="s">
        <v>43</v>
      </c>
      <c r="D67" s="1">
        <v>0.02109859940844629</v>
      </c>
      <c r="E67" s="1">
        <v>0.721277117729187</v>
      </c>
      <c r="F67" s="1">
        <v>0.7057843208312988</v>
      </c>
      <c r="G67" s="1">
        <v>0.7134466767311096</v>
      </c>
      <c r="H67" s="1">
        <v>0.34609720176730485</v>
      </c>
      <c r="I67" s="1">
        <v>0.08112094395280235</v>
      </c>
      <c r="J67" s="1">
        <v>0.1487481590574374</v>
      </c>
      <c r="K67" s="1">
        <v>0.20913107511045656</v>
      </c>
      <c r="L67" s="1">
        <v>0.8271334767341614</v>
      </c>
      <c r="M67" s="1">
        <v>0.5211315751075745</v>
      </c>
      <c r="N67" s="1">
        <v>0.8271334767341614</v>
      </c>
      <c r="O67" s="1">
        <v>0.5211315751075745</v>
      </c>
    </row>
    <row r="68" ht="15.75" customHeight="1">
      <c r="A68" s="1" t="s">
        <v>56</v>
      </c>
      <c r="B68" s="1" t="s">
        <v>16</v>
      </c>
      <c r="C68" s="1" t="s">
        <v>44</v>
      </c>
      <c r="D68" s="1">
        <v>0.011668952783643242</v>
      </c>
      <c r="E68" s="1">
        <v>0.7384743690490723</v>
      </c>
      <c r="F68" s="1">
        <v>0.701697826385498</v>
      </c>
      <c r="G68" s="1">
        <v>0.7196165323257446</v>
      </c>
      <c r="H68" s="1">
        <v>0.30363036303630364</v>
      </c>
      <c r="I68" s="1">
        <v>0.0859504132231405</v>
      </c>
      <c r="J68" s="1">
        <v>0.15016501650165015</v>
      </c>
      <c r="K68" s="1">
        <v>0.19471947194719472</v>
      </c>
      <c r="L68" s="1">
        <v>0.0</v>
      </c>
      <c r="M68" s="1">
        <v>0.0</v>
      </c>
      <c r="N68" s="1">
        <v>0.7693519592285156</v>
      </c>
      <c r="O68" s="1">
        <v>0.48749488592147827</v>
      </c>
    </row>
    <row r="69" ht="15.75" customHeight="1">
      <c r="A69" s="1" t="s">
        <v>56</v>
      </c>
      <c r="B69" s="1" t="s">
        <v>16</v>
      </c>
      <c r="C69" s="1" t="s">
        <v>45</v>
      </c>
      <c r="D69" s="1">
        <v>0.011668952783643242</v>
      </c>
      <c r="E69" s="1">
        <v>0.7384743690490723</v>
      </c>
      <c r="F69" s="1">
        <v>0.701697826385498</v>
      </c>
      <c r="G69" s="1">
        <v>0.7196165323257446</v>
      </c>
      <c r="H69" s="1">
        <v>0.30363036303630364</v>
      </c>
      <c r="I69" s="1">
        <v>0.0859504132231405</v>
      </c>
      <c r="J69" s="1">
        <v>0.15016501650165015</v>
      </c>
      <c r="K69" s="1">
        <v>0.19471947194719472</v>
      </c>
      <c r="L69" s="1">
        <v>0.0</v>
      </c>
      <c r="M69" s="1">
        <v>0.0</v>
      </c>
      <c r="N69" s="1">
        <v>0.7693519592285156</v>
      </c>
      <c r="O69" s="1">
        <v>0.48749488592147827</v>
      </c>
    </row>
    <row r="70" ht="15.75" customHeight="1">
      <c r="A70" s="1" t="s">
        <v>56</v>
      </c>
      <c r="B70" s="1" t="s">
        <v>16</v>
      </c>
      <c r="C70" s="1" t="s">
        <v>46</v>
      </c>
      <c r="D70" s="1">
        <v>0.01170943430564898</v>
      </c>
      <c r="E70" s="1">
        <v>0.7281744480133057</v>
      </c>
      <c r="F70" s="1">
        <v>0.6890741586685181</v>
      </c>
      <c r="G70" s="1">
        <v>0.7080849409103394</v>
      </c>
      <c r="H70" s="1">
        <v>0.32222222222222224</v>
      </c>
      <c r="I70" s="1">
        <v>0.07949125596184418</v>
      </c>
      <c r="J70" s="1">
        <v>0.1619047619047619</v>
      </c>
      <c r="K70" s="1">
        <v>0.1888888888888889</v>
      </c>
      <c r="L70" s="1">
        <v>0.0</v>
      </c>
      <c r="M70" s="1">
        <v>0.0</v>
      </c>
      <c r="N70" s="1">
        <v>0.7693519592285156</v>
      </c>
      <c r="O70" s="1">
        <v>0.48749488592147827</v>
      </c>
    </row>
    <row r="71" ht="15.75" customHeight="1">
      <c r="A71" s="1" t="s">
        <v>56</v>
      </c>
      <c r="B71" s="1" t="s">
        <v>16</v>
      </c>
      <c r="C71" s="1" t="s">
        <v>47</v>
      </c>
      <c r="D71" s="1">
        <v>0.020319523921863848</v>
      </c>
      <c r="E71" s="1">
        <v>0.7295830845832825</v>
      </c>
      <c r="F71" s="1">
        <v>0.7075185775756836</v>
      </c>
      <c r="G71" s="1">
        <v>0.7183814644813538</v>
      </c>
      <c r="H71" s="1">
        <v>0.37625178826895567</v>
      </c>
      <c r="I71" s="1">
        <v>0.08739255014326647</v>
      </c>
      <c r="J71" s="1">
        <v>0.17167381974248927</v>
      </c>
      <c r="K71" s="1">
        <v>0.22603719599427755</v>
      </c>
      <c r="L71" s="1">
        <v>0.0</v>
      </c>
      <c r="M71" s="1">
        <v>0.0</v>
      </c>
      <c r="N71" s="1">
        <v>0.9999999403953552</v>
      </c>
      <c r="O71" s="1">
        <v>0.5545380711555481</v>
      </c>
    </row>
    <row r="72" ht="15.75" customHeight="1">
      <c r="A72" s="1" t="s">
        <v>56</v>
      </c>
      <c r="B72" s="1" t="s">
        <v>16</v>
      </c>
      <c r="C72" s="1" t="s">
        <v>48</v>
      </c>
      <c r="D72" s="1">
        <v>0.032264429435974185</v>
      </c>
      <c r="E72" s="1">
        <v>0.7390693426132202</v>
      </c>
      <c r="F72" s="1">
        <v>0.716193675994873</v>
      </c>
      <c r="G72" s="1">
        <v>0.7274516820907593</v>
      </c>
      <c r="H72" s="1">
        <v>0.3648449039881832</v>
      </c>
      <c r="I72" s="1">
        <v>0.10502958579881658</v>
      </c>
      <c r="J72" s="1">
        <v>0.16100443131462333</v>
      </c>
      <c r="K72" s="1">
        <v>0.22895125553914328</v>
      </c>
      <c r="L72" s="1">
        <v>0.7023138999938965</v>
      </c>
      <c r="M72" s="1">
        <v>0.6429824233055115</v>
      </c>
      <c r="N72" s="1">
        <v>0.7023138999938965</v>
      </c>
      <c r="O72" s="1">
        <v>0.6429824233055115</v>
      </c>
    </row>
    <row r="73" ht="15.75" customHeight="1">
      <c r="A73" s="1" t="s">
        <v>56</v>
      </c>
      <c r="B73" s="1" t="s">
        <v>16</v>
      </c>
      <c r="C73" s="1" t="s">
        <v>49</v>
      </c>
      <c r="D73" s="1">
        <v>0.018762652749998415</v>
      </c>
      <c r="E73" s="1">
        <v>0.7348492741584778</v>
      </c>
      <c r="F73" s="1">
        <v>0.7147728800773621</v>
      </c>
      <c r="G73" s="1">
        <v>0.7246720194816589</v>
      </c>
      <c r="H73" s="1">
        <v>0.3721973094170404</v>
      </c>
      <c r="I73" s="1">
        <v>0.08532934131736526</v>
      </c>
      <c r="J73" s="1">
        <v>0.16442451420029897</v>
      </c>
      <c r="K73" s="1">
        <v>0.21225710014947682</v>
      </c>
      <c r="L73" s="1">
        <v>0.0</v>
      </c>
      <c r="M73" s="1">
        <v>0.0</v>
      </c>
      <c r="N73" s="1">
        <v>0.9999999403953552</v>
      </c>
      <c r="O73" s="1">
        <v>0.5545380711555481</v>
      </c>
    </row>
    <row r="74" ht="15.75" customHeight="1">
      <c r="A74" s="1" t="s">
        <v>56</v>
      </c>
      <c r="B74" s="1" t="s">
        <v>16</v>
      </c>
      <c r="C74" s="1" t="s">
        <v>50</v>
      </c>
      <c r="D74" s="1">
        <v>0.0</v>
      </c>
      <c r="E74" s="1">
        <v>0.6503878831863403</v>
      </c>
      <c r="F74" s="1">
        <v>0.6301312446594238</v>
      </c>
      <c r="G74" s="1">
        <v>0.6400993466377258</v>
      </c>
      <c r="H74" s="1">
        <v>0.30769230769230765</v>
      </c>
      <c r="I74" s="1">
        <v>0.07787903893951946</v>
      </c>
      <c r="J74" s="1">
        <v>0.15053763440860216</v>
      </c>
      <c r="K74" s="1">
        <v>0.2001654259718776</v>
      </c>
      <c r="L74" s="1">
        <v>0.0</v>
      </c>
      <c r="M74" s="1">
        <v>0.0</v>
      </c>
      <c r="N74" s="1">
        <v>0.8277580142021179</v>
      </c>
      <c r="O74" s="1">
        <v>0.5672008395195007</v>
      </c>
    </row>
    <row r="75" ht="15.75" customHeight="1">
      <c r="A75" s="1" t="s">
        <v>56</v>
      </c>
      <c r="B75" s="1" t="s">
        <v>16</v>
      </c>
      <c r="C75" s="1" t="s">
        <v>51</v>
      </c>
      <c r="D75" s="1">
        <v>0.0</v>
      </c>
      <c r="E75" s="1">
        <v>0.6503878831863403</v>
      </c>
      <c r="F75" s="1">
        <v>0.6301312446594238</v>
      </c>
      <c r="G75" s="1">
        <v>0.6400993466377258</v>
      </c>
      <c r="H75" s="1">
        <v>0.30769230769230765</v>
      </c>
      <c r="I75" s="1">
        <v>0.07787903893951946</v>
      </c>
      <c r="J75" s="1">
        <v>0.15053763440860216</v>
      </c>
      <c r="K75" s="1">
        <v>0.2001654259718776</v>
      </c>
      <c r="L75" s="1">
        <v>0.0</v>
      </c>
      <c r="M75" s="1">
        <v>0.0</v>
      </c>
      <c r="N75" s="1">
        <v>0.8277580142021179</v>
      </c>
      <c r="O75" s="1">
        <v>0.5672008395195007</v>
      </c>
    </row>
    <row r="76" ht="15.75" customHeight="1">
      <c r="A76" s="1" t="s">
        <v>56</v>
      </c>
      <c r="B76" s="1" t="s">
        <v>16</v>
      </c>
      <c r="C76" s="1" t="s">
        <v>52</v>
      </c>
      <c r="D76" s="1">
        <v>0.017480168171754976</v>
      </c>
      <c r="E76" s="1">
        <v>0.7443844676017761</v>
      </c>
      <c r="F76" s="1">
        <v>0.7032968997955322</v>
      </c>
      <c r="G76" s="1">
        <v>0.7232575416564941</v>
      </c>
      <c r="H76" s="1">
        <v>0.3380952380952381</v>
      </c>
      <c r="I76" s="1">
        <v>0.09220985691573927</v>
      </c>
      <c r="J76" s="1">
        <v>0.15555555555555559</v>
      </c>
      <c r="K76" s="1">
        <v>0.19999999999999998</v>
      </c>
      <c r="L76" s="1">
        <v>0.0</v>
      </c>
      <c r="M76" s="1">
        <v>0.0</v>
      </c>
      <c r="N76" s="1">
        <v>0.8277580142021179</v>
      </c>
      <c r="O76" s="1">
        <v>0.5672008395195007</v>
      </c>
    </row>
    <row r="77" ht="15.75" customHeight="1">
      <c r="A77" s="1" t="s">
        <v>56</v>
      </c>
      <c r="B77" s="1" t="s">
        <v>16</v>
      </c>
      <c r="C77" s="1" t="s">
        <v>53</v>
      </c>
      <c r="D77" s="1">
        <v>0.03526418482198639</v>
      </c>
      <c r="E77" s="1">
        <v>0.7433568835258484</v>
      </c>
      <c r="F77" s="1">
        <v>0.7222908139228821</v>
      </c>
      <c r="G77" s="1">
        <v>0.7326724529266357</v>
      </c>
      <c r="H77" s="1">
        <v>0.44490358126721763</v>
      </c>
      <c r="I77" s="1">
        <v>0.12551724137931033</v>
      </c>
      <c r="J77" s="1">
        <v>0.18181818181818182</v>
      </c>
      <c r="K77" s="1">
        <v>0.24517906336088155</v>
      </c>
      <c r="L77" s="1">
        <v>0.0</v>
      </c>
      <c r="M77" s="1">
        <v>0.0</v>
      </c>
      <c r="N77" s="1">
        <v>0.9999999403953552</v>
      </c>
      <c r="O77" s="1">
        <v>0.5545380711555481</v>
      </c>
    </row>
    <row r="78" ht="15.75" customHeight="1">
      <c r="A78" s="1" t="s">
        <v>56</v>
      </c>
      <c r="B78" s="1" t="s">
        <v>16</v>
      </c>
      <c r="C78" s="1" t="s">
        <v>54</v>
      </c>
      <c r="D78" s="1">
        <v>0.03011438082111747</v>
      </c>
      <c r="E78" s="1">
        <v>0.7301548719406128</v>
      </c>
      <c r="F78" s="1">
        <v>0.7119228839874268</v>
      </c>
      <c r="G78" s="1">
        <v>0.7209236025810242</v>
      </c>
      <c r="H78" s="1">
        <v>0.48518518518518516</v>
      </c>
      <c r="I78" s="1">
        <v>0.12484548825710753</v>
      </c>
      <c r="J78" s="1">
        <v>0.18641975308641978</v>
      </c>
      <c r="K78" s="1">
        <v>0.2728395061728395</v>
      </c>
      <c r="L78" s="1">
        <v>0.0</v>
      </c>
      <c r="M78" s="1">
        <v>0.0</v>
      </c>
      <c r="N78" s="1">
        <v>0.9999999403953552</v>
      </c>
      <c r="O78" s="1">
        <v>0.5545380711555481</v>
      </c>
    </row>
    <row r="79" ht="15.75" customHeight="1">
      <c r="A79" s="1" t="s">
        <v>56</v>
      </c>
      <c r="B79" s="1" t="s">
        <v>16</v>
      </c>
      <c r="C79" s="1" t="s">
        <v>55</v>
      </c>
      <c r="D79" s="1">
        <v>0.05430975384077286</v>
      </c>
      <c r="E79" s="1">
        <v>0.738656759262085</v>
      </c>
      <c r="F79" s="1">
        <v>0.7175053954124451</v>
      </c>
      <c r="G79" s="1">
        <v>0.7279273867607117</v>
      </c>
      <c r="H79" s="1">
        <v>0.47874427730542835</v>
      </c>
      <c r="I79" s="1">
        <v>0.13097576948264572</v>
      </c>
      <c r="J79" s="1">
        <v>0.19620667102681488</v>
      </c>
      <c r="K79" s="1">
        <v>0.27468933943754087</v>
      </c>
      <c r="L79" s="1">
        <v>0.0</v>
      </c>
      <c r="M79" s="1">
        <v>0.0</v>
      </c>
      <c r="N79" s="1">
        <v>0.9999999403953552</v>
      </c>
      <c r="O79" s="1">
        <v>0.5545380711555481</v>
      </c>
    </row>
    <row r="80" ht="15.75" customHeight="1">
      <c r="A80" s="1" t="s">
        <v>57</v>
      </c>
      <c r="B80" s="1" t="s">
        <v>16</v>
      </c>
      <c r="C80" s="1" t="s">
        <v>17</v>
      </c>
      <c r="D80" s="1">
        <v>0.10199457309034554</v>
      </c>
      <c r="E80" s="1">
        <v>0.7517716884613037</v>
      </c>
      <c r="F80" s="1">
        <v>0.7481613159179688</v>
      </c>
      <c r="G80" s="1">
        <v>0.7499621510505676</v>
      </c>
      <c r="H80" s="1">
        <v>0.5145228215767634</v>
      </c>
      <c r="I80" s="1">
        <v>0.16095534787123572</v>
      </c>
      <c r="J80" s="1">
        <v>0.19502074688796678</v>
      </c>
      <c r="K80" s="1">
        <v>0.29045643153526973</v>
      </c>
      <c r="L80" s="1">
        <v>0.0</v>
      </c>
      <c r="M80" s="1">
        <v>0.0</v>
      </c>
      <c r="N80" s="1">
        <v>0.9999999403953552</v>
      </c>
      <c r="O80" s="1">
        <v>0.9999999403953552</v>
      </c>
    </row>
    <row r="81" ht="15.75" customHeight="1">
      <c r="A81" s="1" t="s">
        <v>57</v>
      </c>
      <c r="B81" s="1" t="s">
        <v>16</v>
      </c>
      <c r="C81" s="1" t="s">
        <v>18</v>
      </c>
      <c r="D81" s="1">
        <v>0.10349588411581717</v>
      </c>
      <c r="E81" s="1">
        <v>0.7569897770881653</v>
      </c>
      <c r="F81" s="1">
        <v>0.7503923177719116</v>
      </c>
      <c r="G81" s="1">
        <v>0.7536765336990356</v>
      </c>
      <c r="H81" s="1">
        <v>0.515527950310559</v>
      </c>
      <c r="I81" s="1">
        <v>0.16683937823834197</v>
      </c>
      <c r="J81" s="1">
        <v>0.19565217391304346</v>
      </c>
      <c r="K81" s="1">
        <v>0.28881987577639756</v>
      </c>
      <c r="L81" s="1">
        <v>0.0</v>
      </c>
      <c r="M81" s="1">
        <v>0.0</v>
      </c>
      <c r="N81" s="1">
        <v>0.9999999403953552</v>
      </c>
      <c r="O81" s="1">
        <v>0.9999999403953552</v>
      </c>
    </row>
    <row r="82" ht="15.75" customHeight="1">
      <c r="A82" s="1" t="s">
        <v>57</v>
      </c>
      <c r="B82" s="1" t="s">
        <v>16</v>
      </c>
      <c r="C82" s="1" t="s">
        <v>19</v>
      </c>
      <c r="D82" s="1">
        <v>0.09639470435895699</v>
      </c>
      <c r="E82" s="1">
        <v>0.7560957670211792</v>
      </c>
      <c r="F82" s="1">
        <v>0.741830587387085</v>
      </c>
      <c r="G82" s="1">
        <v>0.7488952279090881</v>
      </c>
      <c r="H82" s="1">
        <v>0.49373191899710706</v>
      </c>
      <c r="I82" s="1">
        <v>0.166023166023166</v>
      </c>
      <c r="J82" s="1">
        <v>0.18997107039537128</v>
      </c>
      <c r="K82" s="1">
        <v>0.28640308582449375</v>
      </c>
      <c r="L82" s="1">
        <v>0.0</v>
      </c>
      <c r="M82" s="1">
        <v>0.0</v>
      </c>
      <c r="N82" s="1">
        <v>0.9999999403953552</v>
      </c>
      <c r="O82" s="1">
        <v>0.9999999403953552</v>
      </c>
    </row>
    <row r="83" ht="15.75" customHeight="1">
      <c r="A83" s="1" t="s">
        <v>57</v>
      </c>
      <c r="B83" s="1" t="s">
        <v>16</v>
      </c>
      <c r="C83" s="1" t="s">
        <v>20</v>
      </c>
      <c r="D83" s="1">
        <v>0.06763446999236523</v>
      </c>
      <c r="E83" s="1">
        <v>0.7331551909446716</v>
      </c>
      <c r="F83" s="1">
        <v>0.7267712950706482</v>
      </c>
      <c r="G83" s="1">
        <v>0.7299492955207825</v>
      </c>
      <c r="H83" s="1">
        <v>0.4786215698787492</v>
      </c>
      <c r="I83" s="1">
        <v>0.14185303514376996</v>
      </c>
      <c r="J83" s="1">
        <v>0.20038289725590303</v>
      </c>
      <c r="K83" s="1">
        <v>0.27185705169112956</v>
      </c>
      <c r="L83" s="1">
        <v>0.0</v>
      </c>
      <c r="M83" s="1">
        <v>0.0</v>
      </c>
      <c r="N83" s="1">
        <v>0.9999999403953552</v>
      </c>
      <c r="O83" s="1">
        <v>0.9999999403953552</v>
      </c>
    </row>
    <row r="84" ht="15.75" customHeight="1">
      <c r="A84" s="1" t="s">
        <v>57</v>
      </c>
      <c r="B84" s="1" t="s">
        <v>16</v>
      </c>
      <c r="C84" s="1" t="s">
        <v>21</v>
      </c>
      <c r="D84" s="1">
        <v>0.07568502934370488</v>
      </c>
      <c r="E84" s="1">
        <v>0.7353314161300659</v>
      </c>
      <c r="F84" s="1">
        <v>0.7317997217178345</v>
      </c>
      <c r="G84" s="1">
        <v>0.7335613369941711</v>
      </c>
      <c r="H84" s="1">
        <v>0.5136944613511868</v>
      </c>
      <c r="I84" s="1">
        <v>0.1450335161486898</v>
      </c>
      <c r="J84" s="1">
        <v>0.21180766889835667</v>
      </c>
      <c r="K84" s="1">
        <v>0.2726719415702982</v>
      </c>
      <c r="L84" s="1">
        <v>0.0</v>
      </c>
      <c r="M84" s="1">
        <v>0.0</v>
      </c>
      <c r="N84" s="1">
        <v>0.9999999403953552</v>
      </c>
      <c r="O84" s="1">
        <v>0.9999999403953552</v>
      </c>
    </row>
    <row r="85" ht="15.75" customHeight="1">
      <c r="A85" s="1" t="s">
        <v>57</v>
      </c>
      <c r="B85" s="1" t="s">
        <v>16</v>
      </c>
      <c r="C85" s="1" t="s">
        <v>22</v>
      </c>
      <c r="D85" s="1">
        <v>0.06527791998982002</v>
      </c>
      <c r="E85" s="1">
        <v>0.751964807510376</v>
      </c>
      <c r="F85" s="1">
        <v>0.7400058507919312</v>
      </c>
      <c r="G85" s="1">
        <v>0.7459374070167542</v>
      </c>
      <c r="H85" s="1">
        <v>0.4965343415248897</v>
      </c>
      <c r="I85" s="1">
        <v>0.1249211356466877</v>
      </c>
      <c r="J85" s="1">
        <v>0.1953371140516698</v>
      </c>
      <c r="K85" s="1">
        <v>0.27851291745431633</v>
      </c>
      <c r="L85" s="1">
        <v>0.0</v>
      </c>
      <c r="M85" s="1">
        <v>0.0</v>
      </c>
      <c r="N85" s="1">
        <v>0.9999999403953552</v>
      </c>
      <c r="O85" s="1">
        <v>0.9999999403953552</v>
      </c>
    </row>
    <row r="86" ht="15.75" customHeight="1">
      <c r="A86" s="1" t="s">
        <v>57</v>
      </c>
      <c r="B86" s="1" t="s">
        <v>16</v>
      </c>
      <c r="C86" s="1" t="s">
        <v>23</v>
      </c>
      <c r="D86" s="1">
        <v>0.04794497047126003</v>
      </c>
      <c r="E86" s="1">
        <v>0.7493394613265991</v>
      </c>
      <c r="F86" s="1">
        <v>0.7387650012969971</v>
      </c>
      <c r="G86" s="1">
        <v>0.7440146803855896</v>
      </c>
      <c r="H86" s="1">
        <v>0.4444444444444445</v>
      </c>
      <c r="I86" s="1">
        <v>0.11598111935266353</v>
      </c>
      <c r="J86" s="1">
        <v>0.19124579124579125</v>
      </c>
      <c r="K86" s="1">
        <v>0.26262626262626265</v>
      </c>
      <c r="L86" s="1">
        <v>0.0</v>
      </c>
      <c r="M86" s="1">
        <v>0.0</v>
      </c>
      <c r="N86" s="1">
        <v>0.9999999403953552</v>
      </c>
      <c r="O86" s="1">
        <v>0.9999999403953552</v>
      </c>
    </row>
    <row r="87" ht="15.75" customHeight="1">
      <c r="A87" s="1" t="s">
        <v>57</v>
      </c>
      <c r="B87" s="1" t="s">
        <v>16</v>
      </c>
      <c r="C87" s="1" t="s">
        <v>24</v>
      </c>
      <c r="D87" s="1">
        <v>0.058063387936699865</v>
      </c>
      <c r="E87" s="1">
        <v>0.75547194480896</v>
      </c>
      <c r="F87" s="1">
        <v>0.7429813146591187</v>
      </c>
      <c r="G87" s="1">
        <v>0.7491745352745056</v>
      </c>
      <c r="H87" s="1">
        <v>0.4442934782608695</v>
      </c>
      <c r="I87" s="1">
        <v>0.12108843537414966</v>
      </c>
      <c r="J87" s="1">
        <v>0.19157608695652176</v>
      </c>
      <c r="K87" s="1">
        <v>0.264945652173913</v>
      </c>
      <c r="L87" s="1">
        <v>0.0</v>
      </c>
      <c r="M87" s="1">
        <v>0.0</v>
      </c>
      <c r="N87" s="1">
        <v>0.9999999403953552</v>
      </c>
      <c r="O87" s="1">
        <v>0.9999999403953552</v>
      </c>
    </row>
    <row r="88" ht="15.75" customHeight="1">
      <c r="A88" s="1" t="s">
        <v>57</v>
      </c>
      <c r="B88" s="1" t="s">
        <v>16</v>
      </c>
      <c r="C88" s="1" t="s">
        <v>25</v>
      </c>
      <c r="D88" s="1">
        <v>0.058063387936699865</v>
      </c>
      <c r="E88" s="1">
        <v>0.75547194480896</v>
      </c>
      <c r="F88" s="1">
        <v>0.7429813146591187</v>
      </c>
      <c r="G88" s="1">
        <v>0.7491745352745056</v>
      </c>
      <c r="H88" s="1">
        <v>0.4442934782608695</v>
      </c>
      <c r="I88" s="1">
        <v>0.12108843537414966</v>
      </c>
      <c r="J88" s="1">
        <v>0.19157608695652176</v>
      </c>
      <c r="K88" s="1">
        <v>0.264945652173913</v>
      </c>
      <c r="L88" s="1">
        <v>0.0</v>
      </c>
      <c r="M88" s="1">
        <v>0.0</v>
      </c>
      <c r="N88" s="1">
        <v>0.9999999403953552</v>
      </c>
      <c r="O88" s="1">
        <v>0.9999999403953552</v>
      </c>
    </row>
    <row r="89" ht="15.75" customHeight="1">
      <c r="A89" s="1" t="s">
        <v>57</v>
      </c>
      <c r="B89" s="1" t="s">
        <v>16</v>
      </c>
      <c r="C89" s="1" t="s">
        <v>26</v>
      </c>
      <c r="D89" s="1">
        <v>0.07846316044496168</v>
      </c>
      <c r="E89" s="1">
        <v>0.7619577050209045</v>
      </c>
      <c r="F89" s="1">
        <v>0.7462158203125</v>
      </c>
      <c r="G89" s="1">
        <v>0.7540046572685242</v>
      </c>
      <c r="H89" s="1">
        <v>0.489795918367347</v>
      </c>
      <c r="I89" s="1">
        <v>0.1566757493188011</v>
      </c>
      <c r="J89" s="1">
        <v>0.2163265306122449</v>
      </c>
      <c r="K89" s="1">
        <v>0.26258503401360545</v>
      </c>
      <c r="L89" s="1">
        <v>0.0</v>
      </c>
      <c r="M89" s="1">
        <v>0.0</v>
      </c>
      <c r="N89" s="1">
        <v>0.9999999403953552</v>
      </c>
      <c r="O89" s="1">
        <v>0.9999999403953552</v>
      </c>
    </row>
    <row r="90" ht="15.75" customHeight="1">
      <c r="A90" s="1" t="s">
        <v>57</v>
      </c>
      <c r="B90" s="1" t="s">
        <v>16</v>
      </c>
      <c r="C90" s="1" t="s">
        <v>27</v>
      </c>
      <c r="D90" s="1">
        <v>0.07640176947987139</v>
      </c>
      <c r="E90" s="1">
        <v>0.7661141157150269</v>
      </c>
      <c r="F90" s="1">
        <v>0.7487077116966248</v>
      </c>
      <c r="G90" s="1">
        <v>0.7573109269142151</v>
      </c>
      <c r="H90" s="1">
        <v>0.49079754601226994</v>
      </c>
      <c r="I90" s="1">
        <v>0.1583617747440273</v>
      </c>
      <c r="J90" s="1">
        <v>0.21813224267211997</v>
      </c>
      <c r="K90" s="1">
        <v>0.2603953646898432</v>
      </c>
      <c r="L90" s="1">
        <v>0.0</v>
      </c>
      <c r="M90" s="1">
        <v>0.0</v>
      </c>
      <c r="N90" s="1">
        <v>0.9999999403953552</v>
      </c>
      <c r="O90" s="1">
        <v>0.9999999403953552</v>
      </c>
    </row>
    <row r="91" ht="15.75" customHeight="1">
      <c r="A91" s="1" t="s">
        <v>57</v>
      </c>
      <c r="B91" s="1" t="s">
        <v>16</v>
      </c>
      <c r="C91" s="1" t="s">
        <v>28</v>
      </c>
      <c r="D91" s="1">
        <v>0.07149637424063646</v>
      </c>
      <c r="E91" s="1">
        <v>0.7648155689239502</v>
      </c>
      <c r="F91" s="1">
        <v>0.7478376626968384</v>
      </c>
      <c r="G91" s="1">
        <v>0.7562313079833984</v>
      </c>
      <c r="H91" s="1">
        <v>0.4830985915492958</v>
      </c>
      <c r="I91" s="1">
        <v>0.15655853314527501</v>
      </c>
      <c r="J91" s="1">
        <v>0.21549295774647886</v>
      </c>
      <c r="K91" s="1">
        <v>0.25915492957746483</v>
      </c>
      <c r="L91" s="1">
        <v>0.0</v>
      </c>
      <c r="M91" s="1">
        <v>0.0</v>
      </c>
      <c r="N91" s="1">
        <v>0.9999999403953552</v>
      </c>
      <c r="O91" s="1">
        <v>0.9999999403953552</v>
      </c>
    </row>
    <row r="92" ht="15.75" customHeight="1">
      <c r="A92" s="1" t="s">
        <v>57</v>
      </c>
      <c r="B92" s="1" t="s">
        <v>16</v>
      </c>
      <c r="C92" s="1" t="s">
        <v>29</v>
      </c>
      <c r="D92" s="1">
        <v>0.07296654213456329</v>
      </c>
      <c r="E92" s="1">
        <v>0.7609703540802002</v>
      </c>
      <c r="F92" s="1">
        <v>0.7428248524665833</v>
      </c>
      <c r="G92" s="1">
        <v>0.7517881393432617</v>
      </c>
      <c r="H92" s="1">
        <v>0.5009658725048294</v>
      </c>
      <c r="I92" s="1">
        <v>0.1289490651192779</v>
      </c>
      <c r="J92" s="1">
        <v>0.21249195106245977</v>
      </c>
      <c r="K92" s="1">
        <v>0.2807469414037347</v>
      </c>
      <c r="L92" s="1">
        <v>0.0</v>
      </c>
      <c r="M92" s="1">
        <v>0.0</v>
      </c>
      <c r="N92" s="1">
        <v>0.9999999403953552</v>
      </c>
      <c r="O92" s="1">
        <v>0.9999999403953552</v>
      </c>
    </row>
    <row r="93" ht="15.75" customHeight="1">
      <c r="A93" s="1" t="s">
        <v>57</v>
      </c>
      <c r="B93" s="1" t="s">
        <v>16</v>
      </c>
      <c r="C93" s="1" t="s">
        <v>30</v>
      </c>
      <c r="D93" s="1">
        <v>0.05742840057512985</v>
      </c>
      <c r="E93" s="1">
        <v>0.7599655389785767</v>
      </c>
      <c r="F93" s="1">
        <v>0.7415562272071838</v>
      </c>
      <c r="G93" s="1">
        <v>0.750648021697998</v>
      </c>
      <c r="H93" s="1">
        <v>0.4638511095204008</v>
      </c>
      <c r="I93" s="1">
        <v>0.12903225806451613</v>
      </c>
      <c r="J93" s="1">
        <v>0.1875447387258411</v>
      </c>
      <c r="K93" s="1">
        <v>0.2662848962061561</v>
      </c>
      <c r="L93" s="1">
        <v>0.0</v>
      </c>
      <c r="M93" s="1">
        <v>0.0</v>
      </c>
      <c r="N93" s="1">
        <v>0.7693519592285156</v>
      </c>
      <c r="O93" s="1">
        <v>0.7693519592285156</v>
      </c>
    </row>
    <row r="94" ht="15.75" customHeight="1">
      <c r="A94" s="1" t="s">
        <v>57</v>
      </c>
      <c r="B94" s="1" t="s">
        <v>16</v>
      </c>
      <c r="C94" s="1" t="s">
        <v>31</v>
      </c>
      <c r="D94" s="1">
        <v>0.06391466027568483</v>
      </c>
      <c r="E94" s="1">
        <v>0.7717890739440918</v>
      </c>
      <c r="F94" s="1">
        <v>0.7314666509628296</v>
      </c>
      <c r="G94" s="1">
        <v>0.7510870099067688</v>
      </c>
      <c r="H94" s="1">
        <v>0.45487364620938625</v>
      </c>
      <c r="I94" s="1">
        <v>0.14027476500361533</v>
      </c>
      <c r="J94" s="1">
        <v>0.21371841155234658</v>
      </c>
      <c r="K94" s="1">
        <v>0.25415162454873647</v>
      </c>
      <c r="L94" s="1">
        <v>0.0</v>
      </c>
      <c r="M94" s="1">
        <v>0.0</v>
      </c>
      <c r="N94" s="1">
        <v>0.9999999403953552</v>
      </c>
      <c r="O94" s="1">
        <v>0.9999999403953552</v>
      </c>
    </row>
    <row r="95" ht="15.75" customHeight="1">
      <c r="A95" s="1" t="s">
        <v>57</v>
      </c>
      <c r="B95" s="1" t="s">
        <v>16</v>
      </c>
      <c r="C95" s="1" t="s">
        <v>32</v>
      </c>
      <c r="D95" s="1">
        <v>0.07264104421146891</v>
      </c>
      <c r="E95" s="1">
        <v>0.7436800003051758</v>
      </c>
      <c r="F95" s="1">
        <v>0.7297497391700745</v>
      </c>
      <c r="G95" s="1">
        <v>0.7366490364074707</v>
      </c>
      <c r="H95" s="1">
        <v>0.4940711462450593</v>
      </c>
      <c r="I95" s="1">
        <v>0.1345646437994723</v>
      </c>
      <c r="J95" s="1">
        <v>0.20553359683794467</v>
      </c>
      <c r="K95" s="1">
        <v>0.24374176548089593</v>
      </c>
      <c r="L95" s="1">
        <v>0.0</v>
      </c>
      <c r="M95" s="1">
        <v>0.0</v>
      </c>
      <c r="N95" s="1">
        <v>0.9999999403953552</v>
      </c>
      <c r="O95" s="1">
        <v>0.9999999403953552</v>
      </c>
    </row>
    <row r="96" ht="15.75" customHeight="1">
      <c r="A96" s="1" t="s">
        <v>57</v>
      </c>
      <c r="B96" s="1" t="s">
        <v>16</v>
      </c>
      <c r="C96" s="1" t="s">
        <v>33</v>
      </c>
      <c r="D96" s="1">
        <v>0.05415577486739405</v>
      </c>
      <c r="E96" s="1">
        <v>0.7436800003051758</v>
      </c>
      <c r="F96" s="1">
        <v>0.7297497391700745</v>
      </c>
      <c r="G96" s="1">
        <v>0.7366490364074707</v>
      </c>
      <c r="H96" s="1">
        <v>0.4838042729152309</v>
      </c>
      <c r="I96" s="1">
        <v>0.12698412698412698</v>
      </c>
      <c r="J96" s="1">
        <v>0.19159200551343902</v>
      </c>
      <c r="K96" s="1">
        <v>0.23018607856650586</v>
      </c>
      <c r="L96" s="1">
        <v>0.0</v>
      </c>
      <c r="M96" s="1">
        <v>0.0</v>
      </c>
      <c r="N96" s="1">
        <v>0.9999999403953552</v>
      </c>
      <c r="O96" s="1">
        <v>0.9999999403953552</v>
      </c>
    </row>
    <row r="97" ht="15.75" customHeight="1">
      <c r="A97" s="1" t="s">
        <v>57</v>
      </c>
      <c r="B97" s="1" t="s">
        <v>16</v>
      </c>
      <c r="C97" s="1" t="s">
        <v>34</v>
      </c>
      <c r="D97" s="1">
        <v>0.04804373164256967</v>
      </c>
      <c r="E97" s="1">
        <v>0.7445049285888672</v>
      </c>
      <c r="F97" s="1">
        <v>0.7309196591377258</v>
      </c>
      <c r="G97" s="1">
        <v>0.7376497983932495</v>
      </c>
      <c r="H97" s="1">
        <v>0.4701653486700216</v>
      </c>
      <c r="I97" s="1">
        <v>0.12958963282937366</v>
      </c>
      <c r="J97" s="1">
        <v>0.18260244428468728</v>
      </c>
      <c r="K97" s="1">
        <v>0.23005032350826746</v>
      </c>
      <c r="L97" s="1">
        <v>0.0</v>
      </c>
      <c r="M97" s="1">
        <v>0.0</v>
      </c>
      <c r="N97" s="1">
        <v>0.9999999403953552</v>
      </c>
      <c r="O97" s="1">
        <v>0.9999999403953552</v>
      </c>
    </row>
    <row r="98" ht="15.75" customHeight="1">
      <c r="A98" s="1" t="s">
        <v>57</v>
      </c>
      <c r="B98" s="1" t="s">
        <v>16</v>
      </c>
      <c r="C98" s="1" t="s">
        <v>35</v>
      </c>
      <c r="D98" s="1">
        <v>0.048102711590344</v>
      </c>
      <c r="E98" s="1">
        <v>0.7525497674942017</v>
      </c>
      <c r="F98" s="1">
        <v>0.73235023021698</v>
      </c>
      <c r="G98" s="1">
        <v>0.7423126101493835</v>
      </c>
      <c r="H98" s="1">
        <v>0.4328937160589605</v>
      </c>
      <c r="I98" s="1">
        <v>0.13986013986013984</v>
      </c>
      <c r="J98" s="1">
        <v>0.18463925523661756</v>
      </c>
      <c r="K98" s="1">
        <v>0.2451512800620636</v>
      </c>
      <c r="L98" s="1">
        <v>0.0</v>
      </c>
      <c r="M98" s="1">
        <v>0.0</v>
      </c>
      <c r="N98" s="1">
        <v>0.9999999403953552</v>
      </c>
      <c r="O98" s="1">
        <v>0.9999999403953552</v>
      </c>
    </row>
    <row r="99" ht="15.75" customHeight="1">
      <c r="A99" s="1" t="s">
        <v>57</v>
      </c>
      <c r="B99" s="1" t="s">
        <v>16</v>
      </c>
      <c r="C99" s="1" t="s">
        <v>36</v>
      </c>
      <c r="D99" s="1">
        <v>0.053517184781281625</v>
      </c>
      <c r="E99" s="1">
        <v>0.7533427476882935</v>
      </c>
      <c r="F99" s="1">
        <v>0.7369365692138672</v>
      </c>
      <c r="G99" s="1">
        <v>0.7450493574142456</v>
      </c>
      <c r="H99" s="1">
        <v>0.45260837619397504</v>
      </c>
      <c r="I99" s="1">
        <v>0.14422369389256806</v>
      </c>
      <c r="J99" s="1">
        <v>0.18368846436443792</v>
      </c>
      <c r="K99" s="1">
        <v>0.25716385011021303</v>
      </c>
      <c r="L99" s="1">
        <v>0.0</v>
      </c>
      <c r="M99" s="1">
        <v>0.0</v>
      </c>
      <c r="N99" s="1">
        <v>0.9999999403953552</v>
      </c>
      <c r="O99" s="1">
        <v>0.9999999403953552</v>
      </c>
    </row>
    <row r="100" ht="15.75" customHeight="1">
      <c r="A100" s="1" t="s">
        <v>57</v>
      </c>
      <c r="B100" s="1" t="s">
        <v>16</v>
      </c>
      <c r="C100" s="1" t="s">
        <v>37</v>
      </c>
      <c r="D100" s="1">
        <v>0.07197448599514916</v>
      </c>
      <c r="E100" s="1">
        <v>0.7521125674247742</v>
      </c>
      <c r="F100" s="1">
        <v>0.723625659942627</v>
      </c>
      <c r="G100" s="1">
        <v>0.7375941276550293</v>
      </c>
      <c r="H100" s="1">
        <v>0.43605870020964366</v>
      </c>
      <c r="I100" s="1">
        <v>0.12456263121063682</v>
      </c>
      <c r="J100" s="1">
        <v>0.1872816212438854</v>
      </c>
      <c r="K100" s="1">
        <v>0.24598183088749126</v>
      </c>
      <c r="L100" s="1">
        <v>0.0</v>
      </c>
      <c r="M100" s="1">
        <v>0.0</v>
      </c>
      <c r="N100" s="1">
        <v>0.7693519592285156</v>
      </c>
      <c r="O100" s="1">
        <v>0.7693519592285156</v>
      </c>
    </row>
    <row r="101" ht="15.75" customHeight="1">
      <c r="A101" s="1" t="s">
        <v>57</v>
      </c>
      <c r="B101" s="1" t="s">
        <v>16</v>
      </c>
      <c r="C101" s="1" t="s">
        <v>38</v>
      </c>
      <c r="D101" s="1">
        <v>0.0751880606466805</v>
      </c>
      <c r="E101" s="1">
        <v>0.7526096701622009</v>
      </c>
      <c r="F101" s="1">
        <v>0.7284437417984009</v>
      </c>
      <c r="G101" s="1">
        <v>0.7403295636177063</v>
      </c>
      <c r="H101" s="1">
        <v>0.5088676671214188</v>
      </c>
      <c r="I101" s="1">
        <v>0.16256830601092895</v>
      </c>
      <c r="J101" s="1">
        <v>0.20054570259208732</v>
      </c>
      <c r="K101" s="1">
        <v>0.27285129604365616</v>
      </c>
      <c r="L101" s="1">
        <v>0.0</v>
      </c>
      <c r="M101" s="1">
        <v>0.0</v>
      </c>
      <c r="N101" s="1">
        <v>0.9999999403953552</v>
      </c>
      <c r="O101" s="1">
        <v>0.9999999403953552</v>
      </c>
    </row>
    <row r="102" ht="15.75" customHeight="1">
      <c r="A102" s="1" t="s">
        <v>57</v>
      </c>
      <c r="B102" s="1" t="s">
        <v>16</v>
      </c>
      <c r="C102" s="1" t="s">
        <v>39</v>
      </c>
      <c r="D102" s="1">
        <v>0.046592331700885364</v>
      </c>
      <c r="E102" s="1">
        <v>0.7522799968719482</v>
      </c>
      <c r="F102" s="1">
        <v>0.7283065319061279</v>
      </c>
      <c r="G102" s="1">
        <v>0.7400991916656494</v>
      </c>
      <c r="H102" s="1">
        <v>0.430939226519337</v>
      </c>
      <c r="I102" s="1">
        <v>0.14387351778656127</v>
      </c>
      <c r="J102" s="1">
        <v>0.17995264404104183</v>
      </c>
      <c r="K102" s="1">
        <v>0.24782951854775062</v>
      </c>
      <c r="L102" s="1">
        <v>0.0</v>
      </c>
      <c r="M102" s="1">
        <v>0.0</v>
      </c>
      <c r="N102" s="1">
        <v>0.9999999403953552</v>
      </c>
      <c r="O102" s="1">
        <v>0.9999999403953552</v>
      </c>
    </row>
    <row r="103" ht="15.75" customHeight="1">
      <c r="A103" s="1" t="s">
        <v>57</v>
      </c>
      <c r="B103" s="1" t="s">
        <v>16</v>
      </c>
      <c r="C103" s="1" t="s">
        <v>40</v>
      </c>
      <c r="D103" s="1">
        <v>0.059448619344889764</v>
      </c>
      <c r="E103" s="1">
        <v>0.7414956092834473</v>
      </c>
      <c r="F103" s="1">
        <v>0.7429741621017456</v>
      </c>
      <c r="G103" s="1">
        <v>0.7422341704368591</v>
      </c>
      <c r="H103" s="1">
        <v>0.42993396918562</v>
      </c>
      <c r="I103" s="1">
        <v>0.13960323291697282</v>
      </c>
      <c r="J103" s="1">
        <v>0.18195157740278795</v>
      </c>
      <c r="K103" s="1">
        <v>0.2509170946441673</v>
      </c>
      <c r="L103" s="1">
        <v>0.0</v>
      </c>
      <c r="M103" s="1">
        <v>0.0</v>
      </c>
      <c r="N103" s="1">
        <v>0.9999999403953552</v>
      </c>
      <c r="O103" s="1">
        <v>0.9999999403953552</v>
      </c>
    </row>
    <row r="104" ht="15.75" customHeight="1">
      <c r="A104" s="1" t="s">
        <v>57</v>
      </c>
      <c r="B104" s="1" t="s">
        <v>16</v>
      </c>
      <c r="C104" s="1" t="s">
        <v>41</v>
      </c>
      <c r="D104" s="1">
        <v>0.021702246409105987</v>
      </c>
      <c r="E104" s="1">
        <v>0.7419450283050537</v>
      </c>
      <c r="F104" s="1">
        <v>0.7323743104934692</v>
      </c>
      <c r="G104" s="1">
        <v>0.7371285557746887</v>
      </c>
      <c r="H104" s="1">
        <v>0.3783346806790623</v>
      </c>
      <c r="I104" s="1">
        <v>0.0825910931174089</v>
      </c>
      <c r="J104" s="1">
        <v>0.17784963621665317</v>
      </c>
      <c r="K104" s="1">
        <v>0.2231204527081649</v>
      </c>
      <c r="L104" s="1">
        <v>0.7023138999938965</v>
      </c>
      <c r="M104" s="1">
        <v>0.7023138999938965</v>
      </c>
      <c r="N104" s="1">
        <v>0.7023138999938965</v>
      </c>
      <c r="O104" s="1">
        <v>0.7023138999938965</v>
      </c>
    </row>
    <row r="105" ht="15.75" customHeight="1">
      <c r="A105" s="1" t="s">
        <v>57</v>
      </c>
      <c r="B105" s="1" t="s">
        <v>16</v>
      </c>
      <c r="C105" s="1" t="s">
        <v>42</v>
      </c>
      <c r="D105" s="1">
        <v>0.034569283233308226</v>
      </c>
      <c r="E105" s="1">
        <v>0.7505068778991699</v>
      </c>
      <c r="F105" s="1">
        <v>0.7258110046386719</v>
      </c>
      <c r="G105" s="1">
        <v>0.7379523515701294</v>
      </c>
      <c r="H105" s="1">
        <v>0.40062843676355064</v>
      </c>
      <c r="I105" s="1">
        <v>0.12116443745082614</v>
      </c>
      <c r="J105" s="1">
        <v>0.18224666142969365</v>
      </c>
      <c r="K105" s="1">
        <v>0.22623723487824038</v>
      </c>
      <c r="L105" s="1">
        <v>0.0</v>
      </c>
      <c r="M105" s="1">
        <v>0.0</v>
      </c>
      <c r="N105" s="1">
        <v>0.7693519592285156</v>
      </c>
      <c r="O105" s="1">
        <v>0.7693519592285156</v>
      </c>
    </row>
    <row r="106" ht="15.75" customHeight="1">
      <c r="A106" s="1" t="s">
        <v>57</v>
      </c>
      <c r="B106" s="1" t="s">
        <v>16</v>
      </c>
      <c r="C106" s="1" t="s">
        <v>43</v>
      </c>
      <c r="D106" s="1">
        <v>0.030523359602045323</v>
      </c>
      <c r="E106" s="1">
        <v>0.7329010367393494</v>
      </c>
      <c r="F106" s="1">
        <v>0.7288939952850342</v>
      </c>
      <c r="G106" s="1">
        <v>0.73089200258255</v>
      </c>
      <c r="H106" s="1">
        <v>0.3911042944785276</v>
      </c>
      <c r="I106" s="1">
        <v>0.11213517665130568</v>
      </c>
      <c r="J106" s="1">
        <v>0.17024539877300615</v>
      </c>
      <c r="K106" s="1">
        <v>0.22852760736196318</v>
      </c>
      <c r="L106" s="1">
        <v>0.8271334767341614</v>
      </c>
      <c r="M106" s="1">
        <v>0.8271334767341614</v>
      </c>
      <c r="N106" s="1">
        <v>0.8271334767341614</v>
      </c>
      <c r="O106" s="1">
        <v>0.8271334767341614</v>
      </c>
    </row>
    <row r="107" ht="15.75" customHeight="1">
      <c r="A107" s="1" t="s">
        <v>57</v>
      </c>
      <c r="B107" s="1" t="s">
        <v>16</v>
      </c>
      <c r="C107" s="1" t="s">
        <v>44</v>
      </c>
      <c r="D107" s="1">
        <v>0.018002890996803276</v>
      </c>
      <c r="E107" s="1">
        <v>0.763245701789856</v>
      </c>
      <c r="F107" s="1">
        <v>0.7312734723091125</v>
      </c>
      <c r="G107" s="1">
        <v>0.7469176054000854</v>
      </c>
      <c r="H107" s="1">
        <v>0.3281519861830743</v>
      </c>
      <c r="I107" s="1">
        <v>0.10726643598615916</v>
      </c>
      <c r="J107" s="1">
        <v>0.14853195164075994</v>
      </c>
      <c r="K107" s="1">
        <v>0.19516407599309157</v>
      </c>
      <c r="L107" s="1">
        <v>0.0</v>
      </c>
      <c r="M107" s="1">
        <v>0.0</v>
      </c>
      <c r="N107" s="1">
        <v>0.7693519592285156</v>
      </c>
      <c r="O107" s="1">
        <v>0.7693519592285156</v>
      </c>
    </row>
    <row r="108" ht="15.75" customHeight="1">
      <c r="A108" s="1" t="s">
        <v>57</v>
      </c>
      <c r="B108" s="1" t="s">
        <v>16</v>
      </c>
      <c r="C108" s="1" t="s">
        <v>45</v>
      </c>
      <c r="D108" s="1">
        <v>0.018002890996803276</v>
      </c>
      <c r="E108" s="1">
        <v>0.763245701789856</v>
      </c>
      <c r="F108" s="1">
        <v>0.7312734723091125</v>
      </c>
      <c r="G108" s="1">
        <v>0.7469176054000854</v>
      </c>
      <c r="H108" s="1">
        <v>0.3281519861830743</v>
      </c>
      <c r="I108" s="1">
        <v>0.10726643598615916</v>
      </c>
      <c r="J108" s="1">
        <v>0.14853195164075994</v>
      </c>
      <c r="K108" s="1">
        <v>0.19516407599309157</v>
      </c>
      <c r="L108" s="1">
        <v>0.0</v>
      </c>
      <c r="M108" s="1">
        <v>0.0</v>
      </c>
      <c r="N108" s="1">
        <v>0.7693519592285156</v>
      </c>
      <c r="O108" s="1">
        <v>0.7693519592285156</v>
      </c>
    </row>
    <row r="109" ht="15.75" customHeight="1">
      <c r="A109" s="1" t="s">
        <v>57</v>
      </c>
      <c r="B109" s="1" t="s">
        <v>16</v>
      </c>
      <c r="C109" s="1" t="s">
        <v>46</v>
      </c>
      <c r="D109" s="1">
        <v>0.02053894991158001</v>
      </c>
      <c r="E109" s="1">
        <v>0.7468331456184387</v>
      </c>
      <c r="F109" s="1">
        <v>0.7222006320953369</v>
      </c>
      <c r="G109" s="1">
        <v>0.7343104481697083</v>
      </c>
      <c r="H109" s="1">
        <v>0.3598673300165838</v>
      </c>
      <c r="I109" s="1">
        <v>0.10299003322259136</v>
      </c>
      <c r="J109" s="1">
        <v>0.1691542288557214</v>
      </c>
      <c r="K109" s="1">
        <v>0.22388059701492535</v>
      </c>
      <c r="L109" s="1">
        <v>0.0</v>
      </c>
      <c r="M109" s="1">
        <v>0.0</v>
      </c>
      <c r="N109" s="1">
        <v>0.7693519592285156</v>
      </c>
      <c r="O109" s="1">
        <v>0.7693519592285156</v>
      </c>
    </row>
    <row r="110" ht="15.75" customHeight="1">
      <c r="A110" s="1" t="s">
        <v>57</v>
      </c>
      <c r="B110" s="1" t="s">
        <v>16</v>
      </c>
      <c r="C110" s="1" t="s">
        <v>47</v>
      </c>
      <c r="D110" s="1">
        <v>0.06080253054055</v>
      </c>
      <c r="E110" s="1">
        <v>0.7512557506561279</v>
      </c>
      <c r="F110" s="1">
        <v>0.7407039403915405</v>
      </c>
      <c r="G110" s="1">
        <v>0.7459425330162048</v>
      </c>
      <c r="H110" s="1">
        <v>0.41517857142857145</v>
      </c>
      <c r="I110" s="1">
        <v>0.10879284649776452</v>
      </c>
      <c r="J110" s="1">
        <v>0.19196428571428573</v>
      </c>
      <c r="K110" s="1">
        <v>0.255952380952381</v>
      </c>
      <c r="L110" s="1">
        <v>0.0</v>
      </c>
      <c r="M110" s="1">
        <v>0.0</v>
      </c>
      <c r="N110" s="1">
        <v>0.9999999403953552</v>
      </c>
      <c r="O110" s="1">
        <v>0.9999999403953552</v>
      </c>
    </row>
    <row r="111" ht="15.75" customHeight="1">
      <c r="A111" s="1" t="s">
        <v>57</v>
      </c>
      <c r="B111" s="1" t="s">
        <v>16</v>
      </c>
      <c r="C111" s="1" t="s">
        <v>48</v>
      </c>
      <c r="D111" s="1">
        <v>0.05447036742109632</v>
      </c>
      <c r="E111" s="1">
        <v>0.7528306245803833</v>
      </c>
      <c r="F111" s="1">
        <v>0.7436785697937012</v>
      </c>
      <c r="G111" s="1">
        <v>0.7482265830039978</v>
      </c>
      <c r="H111" s="1">
        <v>0.39692307692307693</v>
      </c>
      <c r="I111" s="1">
        <v>0.10939907550077041</v>
      </c>
      <c r="J111" s="1">
        <v>0.17538461538461536</v>
      </c>
      <c r="K111" s="1">
        <v>0.24461538461538462</v>
      </c>
      <c r="L111" s="1">
        <v>0.7023138999938965</v>
      </c>
      <c r="M111" s="1">
        <v>0.7023138999938965</v>
      </c>
      <c r="N111" s="1">
        <v>0.7023138999938965</v>
      </c>
      <c r="O111" s="1">
        <v>0.7023138999938965</v>
      </c>
    </row>
    <row r="112" ht="15.75" customHeight="1">
      <c r="A112" s="1" t="s">
        <v>57</v>
      </c>
      <c r="B112" s="1" t="s">
        <v>16</v>
      </c>
      <c r="C112" s="1" t="s">
        <v>49</v>
      </c>
      <c r="D112" s="1">
        <v>0.04261617895215075</v>
      </c>
      <c r="E112" s="1">
        <v>0.7582002282142639</v>
      </c>
      <c r="F112" s="1">
        <v>0.7454233169555664</v>
      </c>
      <c r="G112" s="1">
        <v>0.7517575025558472</v>
      </c>
      <c r="H112" s="1">
        <v>0.3956386292834891</v>
      </c>
      <c r="I112" s="1">
        <v>0.10452418096723869</v>
      </c>
      <c r="J112" s="1">
        <v>0.17757009345794392</v>
      </c>
      <c r="K112" s="1">
        <v>0.235202492211838</v>
      </c>
      <c r="L112" s="1">
        <v>0.0</v>
      </c>
      <c r="M112" s="1">
        <v>0.0</v>
      </c>
      <c r="N112" s="1">
        <v>0.9999999403953552</v>
      </c>
      <c r="O112" s="1">
        <v>0.9999999403953552</v>
      </c>
    </row>
    <row r="113" ht="15.75" customHeight="1">
      <c r="A113" s="1" t="s">
        <v>57</v>
      </c>
      <c r="B113" s="1" t="s">
        <v>16</v>
      </c>
      <c r="C113" s="1" t="s">
        <v>50</v>
      </c>
      <c r="D113" s="1">
        <v>0.0161658676772301</v>
      </c>
      <c r="E113" s="1">
        <v>0.6578599214553833</v>
      </c>
      <c r="F113" s="1">
        <v>0.6455150842666626</v>
      </c>
      <c r="G113" s="1">
        <v>0.6516290307044983</v>
      </c>
      <c r="H113" s="1">
        <v>0.3168831168831169</v>
      </c>
      <c r="I113" s="1">
        <v>0.07632263660017345</v>
      </c>
      <c r="J113" s="1">
        <v>0.16623376623376623</v>
      </c>
      <c r="K113" s="1">
        <v>0.17835497835497835</v>
      </c>
      <c r="L113" s="1">
        <v>0.0</v>
      </c>
      <c r="M113" s="1">
        <v>0.0</v>
      </c>
      <c r="N113" s="1">
        <v>0.8277580142021179</v>
      </c>
      <c r="O113" s="1">
        <v>0.8277580142021179</v>
      </c>
    </row>
    <row r="114" ht="15.75" customHeight="1">
      <c r="A114" s="1" t="s">
        <v>57</v>
      </c>
      <c r="B114" s="1" t="s">
        <v>16</v>
      </c>
      <c r="C114" s="1" t="s">
        <v>51</v>
      </c>
      <c r="D114" s="1">
        <v>0.0161658676772301</v>
      </c>
      <c r="E114" s="1">
        <v>0.6578599214553833</v>
      </c>
      <c r="F114" s="1">
        <v>0.6455150842666626</v>
      </c>
      <c r="G114" s="1">
        <v>0.6516290307044983</v>
      </c>
      <c r="H114" s="1">
        <v>0.3168831168831169</v>
      </c>
      <c r="I114" s="1">
        <v>0.07632263660017345</v>
      </c>
      <c r="J114" s="1">
        <v>0.16623376623376623</v>
      </c>
      <c r="K114" s="1">
        <v>0.17835497835497835</v>
      </c>
      <c r="L114" s="1">
        <v>0.0</v>
      </c>
      <c r="M114" s="1">
        <v>0.0</v>
      </c>
      <c r="N114" s="1">
        <v>0.8277580142021179</v>
      </c>
      <c r="O114" s="1">
        <v>0.8277580142021179</v>
      </c>
    </row>
    <row r="115" ht="15.75" customHeight="1">
      <c r="A115" s="1" t="s">
        <v>57</v>
      </c>
      <c r="B115" s="1" t="s">
        <v>16</v>
      </c>
      <c r="C115" s="1" t="s">
        <v>52</v>
      </c>
      <c r="D115" s="1">
        <v>0.02899039689424811</v>
      </c>
      <c r="E115" s="1">
        <v>0.7465027570724487</v>
      </c>
      <c r="F115" s="1">
        <v>0.7204043865203857</v>
      </c>
      <c r="G115" s="1">
        <v>0.7332214117050171</v>
      </c>
      <c r="H115" s="1">
        <v>0.35655058043117743</v>
      </c>
      <c r="I115" s="1">
        <v>0.10299003322259136</v>
      </c>
      <c r="J115" s="1">
        <v>0.1691542288557214</v>
      </c>
      <c r="K115" s="1">
        <v>0.24378109452736316</v>
      </c>
      <c r="L115" s="1">
        <v>0.0</v>
      </c>
      <c r="M115" s="1">
        <v>0.0</v>
      </c>
      <c r="N115" s="1">
        <v>0.8277580142021179</v>
      </c>
      <c r="O115" s="1">
        <v>0.8277580142021179</v>
      </c>
    </row>
    <row r="116" ht="15.75" customHeight="1">
      <c r="A116" s="1" t="s">
        <v>57</v>
      </c>
      <c r="B116" s="1" t="s">
        <v>16</v>
      </c>
      <c r="C116" s="1" t="s">
        <v>53</v>
      </c>
      <c r="D116" s="1">
        <v>0.06366114809806997</v>
      </c>
      <c r="E116" s="1">
        <v>0.7653224468231201</v>
      </c>
      <c r="F116" s="1">
        <v>0.7567667365074158</v>
      </c>
      <c r="G116" s="1">
        <v>0.7610205411911011</v>
      </c>
      <c r="H116" s="1">
        <v>0.49785407725321895</v>
      </c>
      <c r="I116" s="1">
        <v>0.15472779369627504</v>
      </c>
      <c r="J116" s="1">
        <v>0.1959942775393419</v>
      </c>
      <c r="K116" s="1">
        <v>0.28469241773962806</v>
      </c>
      <c r="L116" s="1">
        <v>0.0</v>
      </c>
      <c r="M116" s="1">
        <v>0.0</v>
      </c>
      <c r="N116" s="1">
        <v>0.9999999403953552</v>
      </c>
      <c r="O116" s="1">
        <v>0.9999999403953552</v>
      </c>
    </row>
    <row r="117" ht="15.75" customHeight="1">
      <c r="A117" s="1" t="s">
        <v>57</v>
      </c>
      <c r="B117" s="1" t="s">
        <v>16</v>
      </c>
      <c r="C117" s="1" t="s">
        <v>54</v>
      </c>
      <c r="D117" s="1">
        <v>0.09862419683518693</v>
      </c>
      <c r="E117" s="1">
        <v>0.7556792497634888</v>
      </c>
      <c r="F117" s="1">
        <v>0.7525119185447693</v>
      </c>
      <c r="G117" s="1">
        <v>0.754092276096344</v>
      </c>
      <c r="H117" s="1">
        <v>0.528735632183908</v>
      </c>
      <c r="I117" s="1">
        <v>0.159846547314578</v>
      </c>
      <c r="J117" s="1">
        <v>0.19795657726692212</v>
      </c>
      <c r="K117" s="1">
        <v>0.2937420178799489</v>
      </c>
      <c r="L117" s="1">
        <v>0.0</v>
      </c>
      <c r="M117" s="1">
        <v>0.0</v>
      </c>
      <c r="N117" s="1">
        <v>0.9999999403953552</v>
      </c>
      <c r="O117" s="1">
        <v>0.9999999403953552</v>
      </c>
    </row>
    <row r="118" ht="15.75" customHeight="1">
      <c r="A118" s="1" t="s">
        <v>57</v>
      </c>
      <c r="B118" s="1" t="s">
        <v>16</v>
      </c>
      <c r="C118" s="1" t="s">
        <v>55</v>
      </c>
      <c r="D118" s="1">
        <v>0.0858054420657966</v>
      </c>
      <c r="E118" s="1">
        <v>0.7639603614807129</v>
      </c>
      <c r="F118" s="1">
        <v>0.7532212734222412</v>
      </c>
      <c r="G118" s="1">
        <v>0.7585527896881104</v>
      </c>
      <c r="H118" s="1">
        <v>0.5206779661016949</v>
      </c>
      <c r="I118" s="1">
        <v>0.16429056347589954</v>
      </c>
      <c r="J118" s="1">
        <v>0.21152542372881358</v>
      </c>
      <c r="K118" s="1">
        <v>0.2806779661016949</v>
      </c>
      <c r="L118" s="1">
        <v>0.0</v>
      </c>
      <c r="M118" s="1">
        <v>0.0</v>
      </c>
      <c r="N118" s="1">
        <v>0.9999999403953552</v>
      </c>
      <c r="O118" s="1">
        <v>0.9999999403953552</v>
      </c>
    </row>
    <row r="119" ht="15.75" customHeight="1">
      <c r="A119" s="1" t="s">
        <v>58</v>
      </c>
      <c r="B119" s="1" t="s">
        <v>16</v>
      </c>
      <c r="C119" s="1" t="s">
        <v>17</v>
      </c>
      <c r="D119" s="1">
        <v>0.05534937492436973</v>
      </c>
      <c r="E119" s="1">
        <v>0.7377815246582031</v>
      </c>
      <c r="F119" s="1">
        <v>0.7358982563018799</v>
      </c>
      <c r="G119" s="1">
        <v>0.736838698387146</v>
      </c>
      <c r="H119" s="1">
        <v>0.45812534664448146</v>
      </c>
      <c r="I119" s="1">
        <v>0.12215435868961688</v>
      </c>
      <c r="J119" s="1">
        <v>0.1808097615085968</v>
      </c>
      <c r="K119" s="1">
        <v>0.23849140321686077</v>
      </c>
      <c r="L119" s="1">
        <v>0.0</v>
      </c>
      <c r="M119" s="1">
        <v>0.0</v>
      </c>
      <c r="N119" s="1">
        <v>0.9999999403953552</v>
      </c>
      <c r="O119" s="1">
        <v>0.9999999403953552</v>
      </c>
    </row>
    <row r="120" ht="15.75" customHeight="1">
      <c r="A120" s="1" t="s">
        <v>58</v>
      </c>
      <c r="B120" s="1" t="s">
        <v>16</v>
      </c>
      <c r="C120" s="1" t="s">
        <v>18</v>
      </c>
      <c r="D120" s="1">
        <v>0.054485461767391864</v>
      </c>
      <c r="E120" s="1">
        <v>0.7403286695480347</v>
      </c>
      <c r="F120" s="1">
        <v>0.7397989630699158</v>
      </c>
      <c r="G120" s="1">
        <v>0.7400637269020081</v>
      </c>
      <c r="H120" s="1">
        <v>0.4593248478140565</v>
      </c>
      <c r="I120" s="1">
        <v>0.11745152354570638</v>
      </c>
      <c r="J120" s="1">
        <v>0.18483674598782512</v>
      </c>
      <c r="K120" s="1">
        <v>0.2490315439955728</v>
      </c>
      <c r="L120" s="1">
        <v>0.0</v>
      </c>
      <c r="M120" s="1">
        <v>0.0</v>
      </c>
      <c r="N120" s="1">
        <v>0.9999999403953552</v>
      </c>
      <c r="O120" s="1">
        <v>0.9999999403953552</v>
      </c>
    </row>
    <row r="121" ht="15.75" customHeight="1">
      <c r="A121" s="1" t="s">
        <v>58</v>
      </c>
      <c r="B121" s="1" t="s">
        <v>16</v>
      </c>
      <c r="C121" s="1" t="s">
        <v>19</v>
      </c>
      <c r="D121" s="1">
        <v>0.05441640871623879</v>
      </c>
      <c r="E121" s="1">
        <v>0.7367940545082092</v>
      </c>
      <c r="F121" s="1">
        <v>0.7311467528343201</v>
      </c>
      <c r="G121" s="1">
        <v>0.7339595556259155</v>
      </c>
      <c r="H121" s="1">
        <v>0.4350949204720369</v>
      </c>
      <c r="I121" s="1">
        <v>0.11504879301489469</v>
      </c>
      <c r="J121" s="1">
        <v>0.1806054386865059</v>
      </c>
      <c r="K121" s="1">
        <v>0.2483324781939456</v>
      </c>
      <c r="L121" s="1">
        <v>0.0</v>
      </c>
      <c r="M121" s="1">
        <v>0.0</v>
      </c>
      <c r="N121" s="1">
        <v>0.9999999403953552</v>
      </c>
      <c r="O121" s="1">
        <v>0.9999999403953552</v>
      </c>
    </row>
    <row r="122" ht="15.75" customHeight="1">
      <c r="A122" s="1" t="s">
        <v>58</v>
      </c>
      <c r="B122" s="1" t="s">
        <v>16</v>
      </c>
      <c r="C122" s="1" t="s">
        <v>20</v>
      </c>
      <c r="D122" s="1">
        <v>0.03984220399088658</v>
      </c>
      <c r="E122" s="1">
        <v>0.7135390043258667</v>
      </c>
      <c r="F122" s="1">
        <v>0.7130484580993652</v>
      </c>
      <c r="G122" s="1">
        <v>0.7132936120033264</v>
      </c>
      <c r="H122" s="1">
        <v>0.4507628294036061</v>
      </c>
      <c r="I122" s="1">
        <v>0.10833333333333334</v>
      </c>
      <c r="J122" s="1">
        <v>0.18030513176144244</v>
      </c>
      <c r="K122" s="1">
        <v>0.24271844660194172</v>
      </c>
      <c r="L122" s="1">
        <v>0.0</v>
      </c>
      <c r="M122" s="1">
        <v>0.0</v>
      </c>
      <c r="N122" s="1">
        <v>0.9999999403953552</v>
      </c>
      <c r="O122" s="1">
        <v>0.9999999403953552</v>
      </c>
    </row>
    <row r="123" ht="15.75" customHeight="1">
      <c r="A123" s="1" t="s">
        <v>58</v>
      </c>
      <c r="B123" s="1" t="s">
        <v>16</v>
      </c>
      <c r="C123" s="1" t="s">
        <v>21</v>
      </c>
      <c r="D123" s="1">
        <v>0.05635812929716088</v>
      </c>
      <c r="E123" s="1">
        <v>0.7234007716178894</v>
      </c>
      <c r="F123" s="1">
        <v>0.7280128002166748</v>
      </c>
      <c r="G123" s="1">
        <v>0.7256994247436523</v>
      </c>
      <c r="H123" s="1">
        <v>0.4598155467720685</v>
      </c>
      <c r="I123" s="1">
        <v>0.11741424802110817</v>
      </c>
      <c r="J123" s="1">
        <v>0.1857707509881423</v>
      </c>
      <c r="K123" s="1">
        <v>0.2793148880105402</v>
      </c>
      <c r="L123" s="1">
        <v>0.0</v>
      </c>
      <c r="M123" s="1">
        <v>0.0</v>
      </c>
      <c r="N123" s="1">
        <v>0.9999999403953552</v>
      </c>
      <c r="O123" s="1">
        <v>0.9999999403953552</v>
      </c>
    </row>
    <row r="124" ht="15.75" customHeight="1">
      <c r="A124" s="1" t="s">
        <v>58</v>
      </c>
      <c r="B124" s="1" t="s">
        <v>16</v>
      </c>
      <c r="C124" s="1" t="s">
        <v>22</v>
      </c>
      <c r="D124" s="1">
        <v>0.05323714316420221</v>
      </c>
      <c r="E124" s="1">
        <v>0.7305090427398682</v>
      </c>
      <c r="F124" s="1">
        <v>0.7273263931274414</v>
      </c>
      <c r="G124" s="1">
        <v>0.728914201259613</v>
      </c>
      <c r="H124" s="1">
        <v>0.4569083447332422</v>
      </c>
      <c r="I124" s="1">
        <v>0.11232876712328768</v>
      </c>
      <c r="J124" s="1">
        <v>0.18331053351573187</v>
      </c>
      <c r="K124" s="1">
        <v>0.2722298221614227</v>
      </c>
      <c r="L124" s="1">
        <v>0.0</v>
      </c>
      <c r="M124" s="1">
        <v>0.0</v>
      </c>
      <c r="N124" s="1">
        <v>0.9999999403953552</v>
      </c>
      <c r="O124" s="1">
        <v>0.9999999403953552</v>
      </c>
    </row>
    <row r="125" ht="15.75" customHeight="1">
      <c r="A125" s="1" t="s">
        <v>58</v>
      </c>
      <c r="B125" s="1" t="s">
        <v>16</v>
      </c>
      <c r="C125" s="1" t="s">
        <v>23</v>
      </c>
      <c r="D125" s="1">
        <v>0.05048029758454118</v>
      </c>
      <c r="E125" s="1">
        <v>0.7354031205177307</v>
      </c>
      <c r="F125" s="1">
        <v>0.7286776304244995</v>
      </c>
      <c r="G125" s="1">
        <v>0.7320249080657959</v>
      </c>
      <c r="H125" s="1">
        <v>0.4647058823529412</v>
      </c>
      <c r="I125" s="1">
        <v>0.11340206185567012</v>
      </c>
      <c r="J125" s="1">
        <v>0.19117647058823528</v>
      </c>
      <c r="K125" s="1">
        <v>0.2691176470588235</v>
      </c>
      <c r="L125" s="1">
        <v>0.0</v>
      </c>
      <c r="M125" s="1">
        <v>0.0</v>
      </c>
      <c r="N125" s="1">
        <v>0.9999999403953552</v>
      </c>
      <c r="O125" s="1">
        <v>0.9999999403953552</v>
      </c>
    </row>
    <row r="126" ht="15.75" customHeight="1">
      <c r="A126" s="1" t="s">
        <v>58</v>
      </c>
      <c r="B126" s="1" t="s">
        <v>16</v>
      </c>
      <c r="C126" s="1" t="s">
        <v>24</v>
      </c>
      <c r="D126" s="1">
        <v>0.04645175456005988</v>
      </c>
      <c r="E126" s="1">
        <v>0.7384192943572998</v>
      </c>
      <c r="F126" s="1">
        <v>0.7295912504196167</v>
      </c>
      <c r="G126" s="1">
        <v>0.7339787483215332</v>
      </c>
      <c r="H126" s="1">
        <v>0.4573125463994061</v>
      </c>
      <c r="I126" s="1">
        <v>0.11152416356877323</v>
      </c>
      <c r="J126" s="1">
        <v>0.19005196733481813</v>
      </c>
      <c r="K126" s="1">
        <v>0.26726057906458794</v>
      </c>
      <c r="L126" s="1">
        <v>0.0</v>
      </c>
      <c r="M126" s="1">
        <v>0.0</v>
      </c>
      <c r="N126" s="1">
        <v>0.9999999403953552</v>
      </c>
      <c r="O126" s="1">
        <v>0.9999999403953552</v>
      </c>
    </row>
    <row r="127" ht="15.75" customHeight="1">
      <c r="A127" s="1" t="s">
        <v>58</v>
      </c>
      <c r="B127" s="1" t="s">
        <v>16</v>
      </c>
      <c r="C127" s="1" t="s">
        <v>25</v>
      </c>
      <c r="D127" s="1">
        <v>0.04645175456005988</v>
      </c>
      <c r="E127" s="1">
        <v>0.7384192943572998</v>
      </c>
      <c r="F127" s="1">
        <v>0.7295912504196167</v>
      </c>
      <c r="G127" s="1">
        <v>0.7339787483215332</v>
      </c>
      <c r="H127" s="1">
        <v>0.4573125463994061</v>
      </c>
      <c r="I127" s="1">
        <v>0.11152416356877323</v>
      </c>
      <c r="J127" s="1">
        <v>0.19005196733481813</v>
      </c>
      <c r="K127" s="1">
        <v>0.26726057906458794</v>
      </c>
      <c r="L127" s="1">
        <v>0.0</v>
      </c>
      <c r="M127" s="1">
        <v>0.0</v>
      </c>
      <c r="N127" s="1">
        <v>0.9999999403953552</v>
      </c>
      <c r="O127" s="1">
        <v>0.9999999403953552</v>
      </c>
    </row>
    <row r="128" ht="15.75" customHeight="1">
      <c r="A128" s="1" t="s">
        <v>58</v>
      </c>
      <c r="B128" s="1" t="s">
        <v>16</v>
      </c>
      <c r="C128" s="1" t="s">
        <v>26</v>
      </c>
      <c r="D128" s="1">
        <v>0.05552656318798099</v>
      </c>
      <c r="E128" s="1">
        <v>0.7360329627990723</v>
      </c>
      <c r="F128" s="1">
        <v>0.7295037508010864</v>
      </c>
      <c r="G128" s="1">
        <v>0.7327538132667542</v>
      </c>
      <c r="H128" s="1">
        <v>0.46988847583643123</v>
      </c>
      <c r="I128" s="1">
        <v>0.11913626209977661</v>
      </c>
      <c r="J128" s="1">
        <v>0.2037174721189591</v>
      </c>
      <c r="K128" s="1">
        <v>0.26765799256505574</v>
      </c>
      <c r="L128" s="1">
        <v>0.0</v>
      </c>
      <c r="M128" s="1">
        <v>0.0</v>
      </c>
      <c r="N128" s="1">
        <v>0.9999999403953552</v>
      </c>
      <c r="O128" s="1">
        <v>0.9999999403953552</v>
      </c>
    </row>
    <row r="129" ht="15.75" customHeight="1">
      <c r="A129" s="1" t="s">
        <v>58</v>
      </c>
      <c r="B129" s="1" t="s">
        <v>16</v>
      </c>
      <c r="C129" s="1" t="s">
        <v>27</v>
      </c>
      <c r="D129" s="1">
        <v>0.05667833210013334</v>
      </c>
      <c r="E129" s="1">
        <v>0.7407324314117432</v>
      </c>
      <c r="F129" s="1">
        <v>0.7318458557128906</v>
      </c>
      <c r="G129" s="1">
        <v>0.7362623810768127</v>
      </c>
      <c r="H129" s="1">
        <v>0.47391952309985097</v>
      </c>
      <c r="I129" s="1">
        <v>0.12089552238805971</v>
      </c>
      <c r="J129" s="1">
        <v>0.21013412816691507</v>
      </c>
      <c r="K129" s="1">
        <v>0.26825633383010433</v>
      </c>
      <c r="L129" s="1">
        <v>0.0</v>
      </c>
      <c r="M129" s="1">
        <v>0.0</v>
      </c>
      <c r="N129" s="1">
        <v>0.9999999403953552</v>
      </c>
      <c r="O129" s="1">
        <v>0.9999999403953552</v>
      </c>
    </row>
    <row r="130" ht="15.75" customHeight="1">
      <c r="A130" s="1" t="s">
        <v>58</v>
      </c>
      <c r="B130" s="1" t="s">
        <v>16</v>
      </c>
      <c r="C130" s="1" t="s">
        <v>28</v>
      </c>
      <c r="D130" s="1">
        <v>0.05412682161184386</v>
      </c>
      <c r="E130" s="1">
        <v>0.7399179935455322</v>
      </c>
      <c r="F130" s="1">
        <v>0.731739342212677</v>
      </c>
      <c r="G130" s="1">
        <v>0.7358059883117676</v>
      </c>
      <c r="H130" s="1">
        <v>0.46795366795366794</v>
      </c>
      <c r="I130" s="1">
        <v>0.11910286156225831</v>
      </c>
      <c r="J130" s="1">
        <v>0.21158301158301157</v>
      </c>
      <c r="K130" s="1">
        <v>0.27335907335907333</v>
      </c>
      <c r="L130" s="1">
        <v>0.0</v>
      </c>
      <c r="M130" s="1">
        <v>0.0</v>
      </c>
      <c r="N130" s="1">
        <v>0.9999999403953552</v>
      </c>
      <c r="O130" s="1">
        <v>0.9999999403953552</v>
      </c>
    </row>
    <row r="131" ht="15.75" customHeight="1">
      <c r="A131" s="1" t="s">
        <v>58</v>
      </c>
      <c r="B131" s="1" t="s">
        <v>16</v>
      </c>
      <c r="C131" s="1" t="s">
        <v>29</v>
      </c>
      <c r="D131" s="1">
        <v>0.06187351217933241</v>
      </c>
      <c r="E131" s="1">
        <v>0.7361167669296265</v>
      </c>
      <c r="F131" s="1">
        <v>0.7280188798904419</v>
      </c>
      <c r="G131" s="1">
        <v>0.7320454120635986</v>
      </c>
      <c r="H131" s="1">
        <v>0.46078431372549017</v>
      </c>
      <c r="I131" s="1">
        <v>0.11921458625525946</v>
      </c>
      <c r="J131" s="1">
        <v>0.18907563025210083</v>
      </c>
      <c r="K131" s="1">
        <v>0.26330532212885155</v>
      </c>
      <c r="L131" s="1">
        <v>0.0</v>
      </c>
      <c r="M131" s="1">
        <v>0.0</v>
      </c>
      <c r="N131" s="1">
        <v>0.9999999403953552</v>
      </c>
      <c r="O131" s="1">
        <v>0.9999999403953552</v>
      </c>
    </row>
    <row r="132" ht="15.75" customHeight="1">
      <c r="A132" s="1" t="s">
        <v>58</v>
      </c>
      <c r="B132" s="1" t="s">
        <v>16</v>
      </c>
      <c r="C132" s="1" t="s">
        <v>30</v>
      </c>
      <c r="D132" s="1">
        <v>0.05825608684513655</v>
      </c>
      <c r="E132" s="1">
        <v>0.7358219027519226</v>
      </c>
      <c r="F132" s="1">
        <v>0.7272068858146667</v>
      </c>
      <c r="G132" s="1">
        <v>0.7314890027046204</v>
      </c>
      <c r="H132" s="1">
        <v>0.45597484276729566</v>
      </c>
      <c r="I132" s="1">
        <v>0.12440944881889762</v>
      </c>
      <c r="J132" s="1">
        <v>0.190251572327044</v>
      </c>
      <c r="K132" s="1">
        <v>0.25157232704402516</v>
      </c>
      <c r="L132" s="1">
        <v>0.0</v>
      </c>
      <c r="M132" s="1">
        <v>0.0</v>
      </c>
      <c r="N132" s="1">
        <v>0.7693519592285156</v>
      </c>
      <c r="O132" s="1">
        <v>0.7693519592285156</v>
      </c>
    </row>
    <row r="133" ht="15.75" customHeight="1">
      <c r="A133" s="1" t="s">
        <v>58</v>
      </c>
      <c r="B133" s="1" t="s">
        <v>16</v>
      </c>
      <c r="C133" s="1" t="s">
        <v>31</v>
      </c>
      <c r="D133" s="1">
        <v>0.06355853791508873</v>
      </c>
      <c r="E133" s="1">
        <v>0.7458691000938416</v>
      </c>
      <c r="F133" s="1">
        <v>0.7197973132133484</v>
      </c>
      <c r="G133" s="1">
        <v>0.7326013445854187</v>
      </c>
      <c r="H133" s="1">
        <v>0.426984126984127</v>
      </c>
      <c r="I133" s="1">
        <v>0.12082670906200318</v>
      </c>
      <c r="J133" s="1">
        <v>0.18888888888888888</v>
      </c>
      <c r="K133" s="1">
        <v>0.20634920634920637</v>
      </c>
      <c r="L133" s="1">
        <v>0.0</v>
      </c>
      <c r="M133" s="1">
        <v>0.0</v>
      </c>
      <c r="N133" s="1">
        <v>0.9999999403953552</v>
      </c>
      <c r="O133" s="1">
        <v>0.9999999403953552</v>
      </c>
    </row>
    <row r="134" ht="15.75" customHeight="1">
      <c r="A134" s="1" t="s">
        <v>58</v>
      </c>
      <c r="B134" s="1" t="s">
        <v>16</v>
      </c>
      <c r="C134" s="1" t="s">
        <v>32</v>
      </c>
      <c r="D134" s="1">
        <v>0.04073393334332752</v>
      </c>
      <c r="E134" s="1">
        <v>0.7246467471122742</v>
      </c>
      <c r="F134" s="1">
        <v>0.7147942185401917</v>
      </c>
      <c r="G134" s="1">
        <v>0.71968674659729</v>
      </c>
      <c r="H134" s="1">
        <v>0.45369705671213206</v>
      </c>
      <c r="I134" s="1">
        <v>0.10352264557872036</v>
      </c>
      <c r="J134" s="1">
        <v>0.19095477386934673</v>
      </c>
      <c r="K134" s="1">
        <v>0.2613065326633166</v>
      </c>
      <c r="L134" s="1">
        <v>0.0</v>
      </c>
      <c r="M134" s="1">
        <v>0.0</v>
      </c>
      <c r="N134" s="1">
        <v>0.9999999403953552</v>
      </c>
      <c r="O134" s="1">
        <v>0.9999999403953552</v>
      </c>
    </row>
    <row r="135" ht="15.75" customHeight="1">
      <c r="A135" s="1" t="s">
        <v>58</v>
      </c>
      <c r="B135" s="1" t="s">
        <v>16</v>
      </c>
      <c r="C135" s="1" t="s">
        <v>33</v>
      </c>
      <c r="D135" s="1">
        <v>0.039075843916222555</v>
      </c>
      <c r="E135" s="1">
        <v>0.7246467471122742</v>
      </c>
      <c r="F135" s="1">
        <v>0.7147942185401917</v>
      </c>
      <c r="G135" s="1">
        <v>0.71968674659729</v>
      </c>
      <c r="H135" s="1">
        <v>0.45248868778280543</v>
      </c>
      <c r="I135" s="1">
        <v>0.10574018126888217</v>
      </c>
      <c r="J135" s="1">
        <v>0.1885369532428356</v>
      </c>
      <c r="K135" s="1">
        <v>0.25641025641025644</v>
      </c>
      <c r="L135" s="1">
        <v>0.0</v>
      </c>
      <c r="M135" s="1">
        <v>0.0</v>
      </c>
      <c r="N135" s="1">
        <v>0.9999999403953552</v>
      </c>
      <c r="O135" s="1">
        <v>0.9999999403953552</v>
      </c>
    </row>
    <row r="136" ht="15.75" customHeight="1">
      <c r="A136" s="1" t="s">
        <v>58</v>
      </c>
      <c r="B136" s="1" t="s">
        <v>16</v>
      </c>
      <c r="C136" s="1" t="s">
        <v>34</v>
      </c>
      <c r="D136" s="1">
        <v>0.03254742230728028</v>
      </c>
      <c r="E136" s="1">
        <v>0.7278452515602112</v>
      </c>
      <c r="F136" s="1">
        <v>0.7156917452812195</v>
      </c>
      <c r="G136" s="1">
        <v>0.7217172980308533</v>
      </c>
      <c r="H136" s="1">
        <v>0.44075829383886256</v>
      </c>
      <c r="I136" s="1">
        <v>0.10126582278481013</v>
      </c>
      <c r="J136" s="1">
        <v>0.1879936808846761</v>
      </c>
      <c r="K136" s="1">
        <v>0.24328593996840442</v>
      </c>
      <c r="L136" s="1">
        <v>0.0</v>
      </c>
      <c r="M136" s="1">
        <v>0.0</v>
      </c>
      <c r="N136" s="1">
        <v>0.9999999403953552</v>
      </c>
      <c r="O136" s="1">
        <v>0.9999999403953552</v>
      </c>
    </row>
    <row r="137" ht="15.75" customHeight="1">
      <c r="A137" s="1" t="s">
        <v>58</v>
      </c>
      <c r="B137" s="1" t="s">
        <v>16</v>
      </c>
      <c r="C137" s="1" t="s">
        <v>35</v>
      </c>
      <c r="D137" s="1">
        <v>0.025680666390988174</v>
      </c>
      <c r="E137" s="1">
        <v>0.7410222887992859</v>
      </c>
      <c r="F137" s="1">
        <v>0.728034496307373</v>
      </c>
      <c r="G137" s="1">
        <v>0.7344709634780884</v>
      </c>
      <c r="H137" s="1">
        <v>0.43298969072164945</v>
      </c>
      <c r="I137" s="1">
        <v>0.1135972461273666</v>
      </c>
      <c r="J137" s="1">
        <v>0.17010309278350516</v>
      </c>
      <c r="K137" s="1">
        <v>0.24054982817869414</v>
      </c>
      <c r="L137" s="1">
        <v>0.0</v>
      </c>
      <c r="M137" s="1">
        <v>0.0</v>
      </c>
      <c r="N137" s="1">
        <v>0.9999999403953552</v>
      </c>
      <c r="O137" s="1">
        <v>0.9999999403953552</v>
      </c>
    </row>
    <row r="138" ht="15.75" customHeight="1">
      <c r="A138" s="1" t="s">
        <v>58</v>
      </c>
      <c r="B138" s="1" t="s">
        <v>16</v>
      </c>
      <c r="C138" s="1" t="s">
        <v>36</v>
      </c>
      <c r="D138" s="1">
        <v>0.0339756262826532</v>
      </c>
      <c r="E138" s="1">
        <v>0.7435289621353149</v>
      </c>
      <c r="F138" s="1">
        <v>0.7317150831222534</v>
      </c>
      <c r="G138" s="1">
        <v>0.7375746965408325</v>
      </c>
      <c r="H138" s="1">
        <v>0.4288025889967638</v>
      </c>
      <c r="I138" s="1">
        <v>0.11021069692058347</v>
      </c>
      <c r="J138" s="1">
        <v>0.18446601941747573</v>
      </c>
      <c r="K138" s="1">
        <v>0.2313915857605178</v>
      </c>
      <c r="L138" s="1">
        <v>0.0</v>
      </c>
      <c r="M138" s="1">
        <v>0.0</v>
      </c>
      <c r="N138" s="1">
        <v>0.9999999403953552</v>
      </c>
      <c r="O138" s="1">
        <v>0.9999999403953552</v>
      </c>
    </row>
    <row r="139" ht="15.75" customHeight="1">
      <c r="A139" s="1" t="s">
        <v>58</v>
      </c>
      <c r="B139" s="1" t="s">
        <v>16</v>
      </c>
      <c r="C139" s="1" t="s">
        <v>37</v>
      </c>
      <c r="D139" s="1">
        <v>0.046993373090042874</v>
      </c>
      <c r="E139" s="1">
        <v>0.751255452632904</v>
      </c>
      <c r="F139" s="1">
        <v>0.7284574508666992</v>
      </c>
      <c r="G139" s="1">
        <v>0.7396807670593262</v>
      </c>
      <c r="H139" s="1">
        <v>0.439509954058193</v>
      </c>
      <c r="I139" s="1">
        <v>0.1058282208588957</v>
      </c>
      <c r="J139" s="1">
        <v>0.1868300153139357</v>
      </c>
      <c r="K139" s="1">
        <v>0.2664624808575804</v>
      </c>
      <c r="L139" s="1">
        <v>0.0</v>
      </c>
      <c r="M139" s="1">
        <v>0.0</v>
      </c>
      <c r="N139" s="1">
        <v>0.7693519592285156</v>
      </c>
      <c r="O139" s="1">
        <v>0.7693519592285156</v>
      </c>
    </row>
    <row r="140" ht="15.75" customHeight="1">
      <c r="A140" s="1" t="s">
        <v>58</v>
      </c>
      <c r="B140" s="1" t="s">
        <v>16</v>
      </c>
      <c r="C140" s="1" t="s">
        <v>38</v>
      </c>
      <c r="D140" s="1">
        <v>0.0391094142904489</v>
      </c>
      <c r="E140" s="1">
        <v>0.7373515963554382</v>
      </c>
      <c r="F140" s="1">
        <v>0.7250519394874573</v>
      </c>
      <c r="G140" s="1">
        <v>0.7311500310897827</v>
      </c>
      <c r="H140" s="1">
        <v>0.4533929903057419</v>
      </c>
      <c r="I140" s="1">
        <v>0.1075429424943988</v>
      </c>
      <c r="J140" s="1">
        <v>0.18493661446681578</v>
      </c>
      <c r="K140" s="1">
        <v>0.24906785980611487</v>
      </c>
      <c r="L140" s="1">
        <v>0.0</v>
      </c>
      <c r="M140" s="1">
        <v>0.0</v>
      </c>
      <c r="N140" s="1">
        <v>0.9999999403953552</v>
      </c>
      <c r="O140" s="1">
        <v>0.9999999403953552</v>
      </c>
    </row>
    <row r="141" ht="15.75" customHeight="1">
      <c r="A141" s="1" t="s">
        <v>58</v>
      </c>
      <c r="B141" s="1" t="s">
        <v>16</v>
      </c>
      <c r="C141" s="1" t="s">
        <v>39</v>
      </c>
      <c r="D141" s="1">
        <v>0.027723808051863752</v>
      </c>
      <c r="E141" s="1">
        <v>0.7370374202728271</v>
      </c>
      <c r="F141" s="1">
        <v>0.7250043749809265</v>
      </c>
      <c r="G141" s="1">
        <v>0.7309713363647461</v>
      </c>
      <c r="H141" s="1">
        <v>0.4010507880910683</v>
      </c>
      <c r="I141" s="1">
        <v>0.10701754385964911</v>
      </c>
      <c r="J141" s="1">
        <v>0.17513134851138354</v>
      </c>
      <c r="K141" s="1">
        <v>0.23292469352014014</v>
      </c>
      <c r="L141" s="1">
        <v>0.0</v>
      </c>
      <c r="M141" s="1">
        <v>0.0</v>
      </c>
      <c r="N141" s="1">
        <v>0.9999999403953552</v>
      </c>
      <c r="O141" s="1">
        <v>0.9999999403953552</v>
      </c>
    </row>
    <row r="142" ht="15.75" customHeight="1">
      <c r="A142" s="1" t="s">
        <v>58</v>
      </c>
      <c r="B142" s="1" t="s">
        <v>16</v>
      </c>
      <c r="C142" s="1" t="s">
        <v>40</v>
      </c>
      <c r="D142" s="1">
        <v>0.030267412642932624</v>
      </c>
      <c r="E142" s="1">
        <v>0.7235622406005859</v>
      </c>
      <c r="F142" s="1">
        <v>0.7280318140983582</v>
      </c>
      <c r="G142" s="1">
        <v>0.7257900834083557</v>
      </c>
      <c r="H142" s="1">
        <v>0.42649434571890144</v>
      </c>
      <c r="I142" s="1">
        <v>0.09546925566343042</v>
      </c>
      <c r="J142" s="1">
        <v>0.17609046849757673</v>
      </c>
      <c r="K142" s="1">
        <v>0.2310177705977383</v>
      </c>
      <c r="L142" s="1">
        <v>0.0</v>
      </c>
      <c r="M142" s="1">
        <v>0.0</v>
      </c>
      <c r="N142" s="1">
        <v>0.9999999403953552</v>
      </c>
      <c r="O142" s="1">
        <v>0.9999999403953552</v>
      </c>
    </row>
    <row r="143" ht="15.75" customHeight="1">
      <c r="A143" s="1" t="s">
        <v>58</v>
      </c>
      <c r="B143" s="1" t="s">
        <v>16</v>
      </c>
      <c r="C143" s="1" t="s">
        <v>41</v>
      </c>
      <c r="D143" s="1">
        <v>0.016187655875222435</v>
      </c>
      <c r="E143" s="1">
        <v>0.7338931560516357</v>
      </c>
      <c r="F143" s="1">
        <v>0.725271999835968</v>
      </c>
      <c r="G143" s="1">
        <v>0.7295571565628052</v>
      </c>
      <c r="H143" s="1">
        <v>0.3741007194244604</v>
      </c>
      <c r="I143" s="1">
        <v>0.06306306306306307</v>
      </c>
      <c r="J143" s="1">
        <v>0.1618705035971223</v>
      </c>
      <c r="K143" s="1">
        <v>0.2158273381294964</v>
      </c>
      <c r="L143" s="1">
        <v>0.7023138999938965</v>
      </c>
      <c r="M143" s="1">
        <v>0.7023138999938965</v>
      </c>
      <c r="N143" s="1">
        <v>0.7023138999938965</v>
      </c>
      <c r="O143" s="1">
        <v>0.7023138999938965</v>
      </c>
    </row>
    <row r="144" ht="15.75" customHeight="1">
      <c r="A144" s="1" t="s">
        <v>58</v>
      </c>
      <c r="B144" s="1" t="s">
        <v>16</v>
      </c>
      <c r="C144" s="1" t="s">
        <v>42</v>
      </c>
      <c r="D144" s="1">
        <v>0.02362758040151927</v>
      </c>
      <c r="E144" s="1">
        <v>0.7368090152740479</v>
      </c>
      <c r="F144" s="1">
        <v>0.7243735790252686</v>
      </c>
      <c r="G144" s="1">
        <v>0.7305383682250977</v>
      </c>
      <c r="H144" s="1">
        <v>0.37979094076655057</v>
      </c>
      <c r="I144" s="1">
        <v>0.0837696335078534</v>
      </c>
      <c r="J144" s="1">
        <v>0.1707317073170732</v>
      </c>
      <c r="K144" s="1">
        <v>0.23170731707317074</v>
      </c>
      <c r="L144" s="1">
        <v>0.0</v>
      </c>
      <c r="M144" s="1">
        <v>0.0</v>
      </c>
      <c r="N144" s="1">
        <v>0.7693519592285156</v>
      </c>
      <c r="O144" s="1">
        <v>0.7693519592285156</v>
      </c>
    </row>
    <row r="145" ht="15.75" customHeight="1">
      <c r="A145" s="1" t="s">
        <v>58</v>
      </c>
      <c r="B145" s="1" t="s">
        <v>16</v>
      </c>
      <c r="C145" s="1" t="s">
        <v>43</v>
      </c>
      <c r="D145" s="1">
        <v>0.01927535405296788</v>
      </c>
      <c r="E145" s="1">
        <v>0.727728545665741</v>
      </c>
      <c r="F145" s="1">
        <v>0.7264883518218994</v>
      </c>
      <c r="G145" s="1">
        <v>0.7271078824996948</v>
      </c>
      <c r="H145" s="1">
        <v>0.3782866836301951</v>
      </c>
      <c r="I145" s="1">
        <v>0.08496176720475786</v>
      </c>
      <c r="J145" s="1">
        <v>0.1611535199321459</v>
      </c>
      <c r="K145" s="1">
        <v>0.22561492790500426</v>
      </c>
      <c r="L145" s="1">
        <v>0.8271334767341614</v>
      </c>
      <c r="M145" s="1">
        <v>0.8271334767341614</v>
      </c>
      <c r="N145" s="1">
        <v>0.8271334767341614</v>
      </c>
      <c r="O145" s="1">
        <v>0.8271334767341614</v>
      </c>
    </row>
    <row r="146" ht="15.75" customHeight="1">
      <c r="A146" s="1" t="s">
        <v>58</v>
      </c>
      <c r="B146" s="1" t="s">
        <v>16</v>
      </c>
      <c r="C146" s="1" t="s">
        <v>44</v>
      </c>
      <c r="D146" s="1">
        <v>0.01527891215720533</v>
      </c>
      <c r="E146" s="1">
        <v>0.737402081489563</v>
      </c>
      <c r="F146" s="1">
        <v>0.713494062423706</v>
      </c>
      <c r="G146" s="1">
        <v>0.7252510786056519</v>
      </c>
      <c r="H146" s="1">
        <v>0.3504356243949661</v>
      </c>
      <c r="I146" s="1">
        <v>0.08535402521823474</v>
      </c>
      <c r="J146" s="1">
        <v>0.1626331074540174</v>
      </c>
      <c r="K146" s="1">
        <v>0.19361084220716362</v>
      </c>
      <c r="L146" s="1">
        <v>0.0</v>
      </c>
      <c r="M146" s="1">
        <v>0.0</v>
      </c>
      <c r="N146" s="1">
        <v>0.7693519592285156</v>
      </c>
      <c r="O146" s="1">
        <v>0.7693519592285156</v>
      </c>
    </row>
    <row r="147" ht="15.75" customHeight="1">
      <c r="A147" s="1" t="s">
        <v>58</v>
      </c>
      <c r="B147" s="1" t="s">
        <v>16</v>
      </c>
      <c r="C147" s="1" t="s">
        <v>45</v>
      </c>
      <c r="D147" s="1">
        <v>0.01527891215720533</v>
      </c>
      <c r="E147" s="1">
        <v>0.737402081489563</v>
      </c>
      <c r="F147" s="1">
        <v>0.713494062423706</v>
      </c>
      <c r="G147" s="1">
        <v>0.7252510786056519</v>
      </c>
      <c r="H147" s="1">
        <v>0.3504356243949661</v>
      </c>
      <c r="I147" s="1">
        <v>0.08535402521823474</v>
      </c>
      <c r="J147" s="1">
        <v>0.1626331074540174</v>
      </c>
      <c r="K147" s="1">
        <v>0.19361084220716362</v>
      </c>
      <c r="L147" s="1">
        <v>0.0</v>
      </c>
      <c r="M147" s="1">
        <v>0.0</v>
      </c>
      <c r="N147" s="1">
        <v>0.7693519592285156</v>
      </c>
      <c r="O147" s="1">
        <v>0.7693519592285156</v>
      </c>
    </row>
    <row r="148" ht="15.75" customHeight="1">
      <c r="A148" s="1" t="s">
        <v>58</v>
      </c>
      <c r="B148" s="1" t="s">
        <v>16</v>
      </c>
      <c r="C148" s="1" t="s">
        <v>46</v>
      </c>
      <c r="D148" s="1">
        <v>0.0</v>
      </c>
      <c r="E148" s="1">
        <v>0.7392860651016235</v>
      </c>
      <c r="F148" s="1">
        <v>0.7178995013237</v>
      </c>
      <c r="G148" s="1">
        <v>0.7284358739852905</v>
      </c>
      <c r="H148" s="1">
        <v>0.3404255319148936</v>
      </c>
      <c r="I148" s="1">
        <v>0.08897126969416126</v>
      </c>
      <c r="J148" s="1">
        <v>0.1646623496762257</v>
      </c>
      <c r="K148" s="1">
        <v>0.19796484736355227</v>
      </c>
      <c r="L148" s="1">
        <v>0.0</v>
      </c>
      <c r="M148" s="1">
        <v>0.0</v>
      </c>
      <c r="N148" s="1">
        <v>0.7693519592285156</v>
      </c>
      <c r="O148" s="1">
        <v>0.7693519592285156</v>
      </c>
    </row>
    <row r="149" ht="15.75" customHeight="1">
      <c r="A149" s="1" t="s">
        <v>58</v>
      </c>
      <c r="B149" s="1" t="s">
        <v>16</v>
      </c>
      <c r="C149" s="1" t="s">
        <v>47</v>
      </c>
      <c r="D149" s="1">
        <v>0.051575873727971774</v>
      </c>
      <c r="E149" s="1">
        <v>0.7387041449546814</v>
      </c>
      <c r="F149" s="1">
        <v>0.7268922328948975</v>
      </c>
      <c r="G149" s="1">
        <v>0.7327505350112915</v>
      </c>
      <c r="H149" s="1">
        <v>0.4380639868744873</v>
      </c>
      <c r="I149" s="1">
        <v>0.10353327855382088</v>
      </c>
      <c r="J149" s="1">
        <v>0.17391304347826086</v>
      </c>
      <c r="K149" s="1">
        <v>0.25594749794913857</v>
      </c>
      <c r="L149" s="1">
        <v>0.0</v>
      </c>
      <c r="M149" s="1">
        <v>0.0</v>
      </c>
      <c r="N149" s="1">
        <v>0.9999999403953552</v>
      </c>
      <c r="O149" s="1">
        <v>0.9999999403953552</v>
      </c>
    </row>
    <row r="150" ht="15.75" customHeight="1">
      <c r="A150" s="1" t="s">
        <v>58</v>
      </c>
      <c r="B150" s="1" t="s">
        <v>16</v>
      </c>
      <c r="C150" s="1" t="s">
        <v>48</v>
      </c>
      <c r="D150" s="1">
        <v>0.05430985408982245</v>
      </c>
      <c r="E150" s="1">
        <v>0.7329349517822266</v>
      </c>
      <c r="F150" s="1">
        <v>0.727961003780365</v>
      </c>
      <c r="G150" s="1">
        <v>0.7304394841194153</v>
      </c>
      <c r="H150" s="1">
        <v>0.3948936170212766</v>
      </c>
      <c r="I150" s="1">
        <v>0.09718670076726342</v>
      </c>
      <c r="J150" s="1">
        <v>0.17021276595744683</v>
      </c>
      <c r="K150" s="1">
        <v>0.25531914893617025</v>
      </c>
      <c r="L150" s="1">
        <v>0.7023138999938965</v>
      </c>
      <c r="M150" s="1">
        <v>0.7023138999938965</v>
      </c>
      <c r="N150" s="1">
        <v>0.7023138999938965</v>
      </c>
      <c r="O150" s="1">
        <v>0.7023138999938965</v>
      </c>
    </row>
    <row r="151" ht="15.75" customHeight="1">
      <c r="A151" s="1" t="s">
        <v>58</v>
      </c>
      <c r="B151" s="1" t="s">
        <v>16</v>
      </c>
      <c r="C151" s="1" t="s">
        <v>49</v>
      </c>
      <c r="D151" s="1">
        <v>0.038824674078436004</v>
      </c>
      <c r="E151" s="1">
        <v>0.7330286502838135</v>
      </c>
      <c r="F151" s="1">
        <v>0.7313975095748901</v>
      </c>
      <c r="G151" s="1">
        <v>0.7322121262550354</v>
      </c>
      <c r="H151" s="1">
        <v>0.40034512510785164</v>
      </c>
      <c r="I151" s="1">
        <v>0.09334485738980121</v>
      </c>
      <c r="J151" s="1">
        <v>0.16911130284728215</v>
      </c>
      <c r="K151" s="1">
        <v>0.2312338222605695</v>
      </c>
      <c r="L151" s="1">
        <v>0.0</v>
      </c>
      <c r="M151" s="1">
        <v>0.0</v>
      </c>
      <c r="N151" s="1">
        <v>0.9999999403953552</v>
      </c>
      <c r="O151" s="1">
        <v>0.9999999403953552</v>
      </c>
    </row>
    <row r="152" ht="15.75" customHeight="1">
      <c r="A152" s="1" t="s">
        <v>58</v>
      </c>
      <c r="B152" s="1" t="s">
        <v>16</v>
      </c>
      <c r="C152" s="1" t="s">
        <v>50</v>
      </c>
      <c r="D152" s="1">
        <v>0.019183650844715044</v>
      </c>
      <c r="E152" s="1">
        <v>0.6626288890838623</v>
      </c>
      <c r="F152" s="1">
        <v>0.649599552154541</v>
      </c>
      <c r="G152" s="1">
        <v>0.6560495495796204</v>
      </c>
      <c r="H152" s="1">
        <v>0.341747572815534</v>
      </c>
      <c r="I152" s="1">
        <v>0.09727626459143969</v>
      </c>
      <c r="J152" s="1">
        <v>0.170873786407767</v>
      </c>
      <c r="K152" s="1">
        <v>0.18834951456310678</v>
      </c>
      <c r="L152" s="1">
        <v>0.0</v>
      </c>
      <c r="M152" s="1">
        <v>0.0</v>
      </c>
      <c r="N152" s="1">
        <v>0.8277580142021179</v>
      </c>
      <c r="O152" s="1">
        <v>0.8277580142021179</v>
      </c>
    </row>
    <row r="153" ht="15.75" customHeight="1">
      <c r="A153" s="1" t="s">
        <v>58</v>
      </c>
      <c r="B153" s="1" t="s">
        <v>16</v>
      </c>
      <c r="C153" s="1" t="s">
        <v>51</v>
      </c>
      <c r="D153" s="1">
        <v>0.019183650844715044</v>
      </c>
      <c r="E153" s="1">
        <v>0.6626288890838623</v>
      </c>
      <c r="F153" s="1">
        <v>0.649599552154541</v>
      </c>
      <c r="G153" s="1">
        <v>0.6560495495796204</v>
      </c>
      <c r="H153" s="1">
        <v>0.341747572815534</v>
      </c>
      <c r="I153" s="1">
        <v>0.09727626459143969</v>
      </c>
      <c r="J153" s="1">
        <v>0.170873786407767</v>
      </c>
      <c r="K153" s="1">
        <v>0.18834951456310678</v>
      </c>
      <c r="L153" s="1">
        <v>0.0</v>
      </c>
      <c r="M153" s="1">
        <v>0.0</v>
      </c>
      <c r="N153" s="1">
        <v>0.8277580142021179</v>
      </c>
      <c r="O153" s="1">
        <v>0.8277580142021179</v>
      </c>
    </row>
    <row r="154" ht="15.75" customHeight="1">
      <c r="A154" s="1" t="s">
        <v>58</v>
      </c>
      <c r="B154" s="1" t="s">
        <v>16</v>
      </c>
      <c r="C154" s="1" t="s">
        <v>52</v>
      </c>
      <c r="D154" s="1">
        <v>0.01838355493555009</v>
      </c>
      <c r="E154" s="1">
        <v>0.7364626526832581</v>
      </c>
      <c r="F154" s="1">
        <v>0.7173216938972473</v>
      </c>
      <c r="G154" s="1">
        <v>0.7267661094665527</v>
      </c>
      <c r="H154" s="1">
        <v>0.3774283071230342</v>
      </c>
      <c r="I154" s="1">
        <v>0.09823911028730306</v>
      </c>
      <c r="J154" s="1">
        <v>0.1646623496762257</v>
      </c>
      <c r="K154" s="1">
        <v>0.21646623496762257</v>
      </c>
      <c r="L154" s="1">
        <v>0.0</v>
      </c>
      <c r="M154" s="1">
        <v>0.0</v>
      </c>
      <c r="N154" s="1">
        <v>0.8277580142021179</v>
      </c>
      <c r="O154" s="1">
        <v>0.8277580142021179</v>
      </c>
    </row>
    <row r="155" ht="15.75" customHeight="1">
      <c r="A155" s="1" t="s">
        <v>58</v>
      </c>
      <c r="B155" s="1" t="s">
        <v>16</v>
      </c>
      <c r="C155" s="1" t="s">
        <v>53</v>
      </c>
      <c r="D155" s="1">
        <v>0.045756942315882315</v>
      </c>
      <c r="E155" s="1">
        <v>0.7309014797210693</v>
      </c>
      <c r="F155" s="1">
        <v>0.728338360786438</v>
      </c>
      <c r="G155" s="1">
        <v>0.7296176552772522</v>
      </c>
      <c r="H155" s="1">
        <v>0.46818538884524746</v>
      </c>
      <c r="I155" s="1">
        <v>0.12903225806451613</v>
      </c>
      <c r="J155" s="1">
        <v>0.18538884524744698</v>
      </c>
      <c r="K155" s="1">
        <v>0.24037706205813042</v>
      </c>
      <c r="L155" s="1">
        <v>0.0</v>
      </c>
      <c r="M155" s="1">
        <v>0.0</v>
      </c>
      <c r="N155" s="1">
        <v>0.9999999403953552</v>
      </c>
      <c r="O155" s="1">
        <v>0.9999999403953552</v>
      </c>
    </row>
    <row r="156" ht="15.75" customHeight="1">
      <c r="A156" s="1" t="s">
        <v>58</v>
      </c>
      <c r="B156" s="1" t="s">
        <v>16</v>
      </c>
      <c r="C156" s="1" t="s">
        <v>54</v>
      </c>
      <c r="D156" s="1">
        <v>0.0662013337529396</v>
      </c>
      <c r="E156" s="1">
        <v>0.7369204759597778</v>
      </c>
      <c r="F156" s="1">
        <v>0.7343300580978394</v>
      </c>
      <c r="G156" s="1">
        <v>0.7356230020523071</v>
      </c>
      <c r="H156" s="1">
        <v>0.47328244274809156</v>
      </c>
      <c r="I156" s="1">
        <v>0.11952744961779012</v>
      </c>
      <c r="J156" s="1">
        <v>0.18459403192227622</v>
      </c>
      <c r="K156" s="1">
        <v>0.2748091603053435</v>
      </c>
      <c r="L156" s="1">
        <v>0.0</v>
      </c>
      <c r="M156" s="1">
        <v>0.0</v>
      </c>
      <c r="N156" s="1">
        <v>0.9999999403953552</v>
      </c>
      <c r="O156" s="1">
        <v>0.9999999403953552</v>
      </c>
    </row>
    <row r="157" ht="15.75" customHeight="1">
      <c r="A157" s="1" t="s">
        <v>58</v>
      </c>
      <c r="B157" s="1" t="s">
        <v>16</v>
      </c>
      <c r="C157" s="1" t="s">
        <v>55</v>
      </c>
      <c r="D157" s="1">
        <v>0.057447065043888544</v>
      </c>
      <c r="E157" s="1">
        <v>0.7336838841438293</v>
      </c>
      <c r="F157" s="1">
        <v>0.728837251663208</v>
      </c>
      <c r="G157" s="1">
        <v>0.7312526106834412</v>
      </c>
      <c r="H157" s="1">
        <v>0.48</v>
      </c>
      <c r="I157" s="1">
        <v>0.1172106824925816</v>
      </c>
      <c r="J157" s="1">
        <v>0.19111111111111112</v>
      </c>
      <c r="K157" s="1">
        <v>0.24740740740740738</v>
      </c>
      <c r="L157" s="1">
        <v>0.0</v>
      </c>
      <c r="M157" s="1">
        <v>0.0</v>
      </c>
      <c r="N157" s="1">
        <v>0.9999999403953552</v>
      </c>
      <c r="O157" s="1">
        <v>0.9999999403953552</v>
      </c>
    </row>
    <row r="158" ht="15.75" customHeight="1">
      <c r="A158" s="1" t="s">
        <v>59</v>
      </c>
      <c r="B158" s="1" t="s">
        <v>16</v>
      </c>
      <c r="C158" s="1" t="s">
        <v>17</v>
      </c>
      <c r="D158" s="1">
        <v>0.06309750255848669</v>
      </c>
      <c r="E158" s="1">
        <v>0.7333807945251465</v>
      </c>
      <c r="F158" s="1">
        <v>0.7291799783706665</v>
      </c>
      <c r="G158" s="1">
        <v>0.7312743663787842</v>
      </c>
      <c r="H158" s="1">
        <v>0.46267806267806266</v>
      </c>
      <c r="I158" s="1">
        <v>0.12892184826012548</v>
      </c>
      <c r="J158" s="1">
        <v>0.18233618233618232</v>
      </c>
      <c r="K158" s="1">
        <v>0.26096866096866095</v>
      </c>
      <c r="L158" s="1">
        <v>0.0</v>
      </c>
      <c r="M158" s="1">
        <v>0.0</v>
      </c>
      <c r="N158" s="1">
        <v>0.9999999403953552</v>
      </c>
      <c r="O158" s="1">
        <v>0.9999999403953552</v>
      </c>
    </row>
    <row r="159" ht="15.75" customHeight="1">
      <c r="A159" s="1" t="s">
        <v>59</v>
      </c>
      <c r="B159" s="1" t="s">
        <v>16</v>
      </c>
      <c r="C159" s="1" t="s">
        <v>18</v>
      </c>
      <c r="D159" s="1">
        <v>0.06720058980505773</v>
      </c>
      <c r="E159" s="1">
        <v>0.7340750694274902</v>
      </c>
      <c r="F159" s="1">
        <v>0.7282154560089111</v>
      </c>
      <c r="G159" s="1">
        <v>0.7311335206031799</v>
      </c>
      <c r="H159" s="1">
        <v>0.46503695281409896</v>
      </c>
      <c r="I159" s="1">
        <v>0.13545816733067728</v>
      </c>
      <c r="J159" s="1">
        <v>0.1841955656623081</v>
      </c>
      <c r="K159" s="1">
        <v>0.2637862421830586</v>
      </c>
      <c r="L159" s="1">
        <v>0.0</v>
      </c>
      <c r="M159" s="1">
        <v>0.0</v>
      </c>
      <c r="N159" s="1">
        <v>0.9999999403953552</v>
      </c>
      <c r="O159" s="1">
        <v>0.9999999403953552</v>
      </c>
    </row>
    <row r="160" ht="15.75" customHeight="1">
      <c r="A160" s="1" t="s">
        <v>59</v>
      </c>
      <c r="B160" s="1" t="s">
        <v>16</v>
      </c>
      <c r="C160" s="1" t="s">
        <v>19</v>
      </c>
      <c r="D160" s="1">
        <v>0.06456419557361492</v>
      </c>
      <c r="E160" s="1">
        <v>0.738587498664856</v>
      </c>
      <c r="F160" s="1">
        <v>0.7336949110031128</v>
      </c>
      <c r="G160" s="1">
        <v>0.7361330986022949</v>
      </c>
      <c r="H160" s="1">
        <v>0.4471330878485008</v>
      </c>
      <c r="I160" s="1">
        <v>0.14323328067403895</v>
      </c>
      <c r="J160" s="1">
        <v>0.1862177801157286</v>
      </c>
      <c r="K160" s="1">
        <v>0.2630194634402946</v>
      </c>
      <c r="L160" s="1">
        <v>0.0</v>
      </c>
      <c r="M160" s="1">
        <v>0.0</v>
      </c>
      <c r="N160" s="1">
        <v>0.9999999403953552</v>
      </c>
      <c r="O160" s="1">
        <v>0.9999999403953552</v>
      </c>
    </row>
    <row r="161" ht="15.75" customHeight="1">
      <c r="A161" s="1" t="s">
        <v>59</v>
      </c>
      <c r="B161" s="1" t="s">
        <v>16</v>
      </c>
      <c r="C161" s="1" t="s">
        <v>20</v>
      </c>
      <c r="D161" s="1">
        <v>0.06579861585490517</v>
      </c>
      <c r="E161" s="1">
        <v>0.7074922323226929</v>
      </c>
      <c r="F161" s="1">
        <v>0.7049862146377563</v>
      </c>
      <c r="G161" s="1">
        <v>0.7062370181083679</v>
      </c>
      <c r="H161" s="1">
        <v>0.45050215208034433</v>
      </c>
      <c r="I161" s="1">
        <v>0.11925287356321838</v>
      </c>
      <c r="J161" s="1">
        <v>0.1807747489239598</v>
      </c>
      <c r="K161" s="1">
        <v>0.2697274031563845</v>
      </c>
      <c r="L161" s="1">
        <v>0.0</v>
      </c>
      <c r="M161" s="1">
        <v>0.0</v>
      </c>
      <c r="N161" s="1">
        <v>0.9999999403953552</v>
      </c>
      <c r="O161" s="1">
        <v>0.9999999403953552</v>
      </c>
    </row>
    <row r="162" ht="15.75" customHeight="1">
      <c r="A162" s="1" t="s">
        <v>59</v>
      </c>
      <c r="B162" s="1" t="s">
        <v>16</v>
      </c>
      <c r="C162" s="1" t="s">
        <v>21</v>
      </c>
      <c r="D162" s="1">
        <v>0.06529511892112291</v>
      </c>
      <c r="E162" s="1">
        <v>0.7244020700454712</v>
      </c>
      <c r="F162" s="1">
        <v>0.7248040437698364</v>
      </c>
      <c r="G162" s="1">
        <v>0.724602997303009</v>
      </c>
      <c r="H162" s="1">
        <v>0.4761904761904762</v>
      </c>
      <c r="I162" s="1">
        <v>0.14850136239782016</v>
      </c>
      <c r="J162" s="1">
        <v>0.19319727891156463</v>
      </c>
      <c r="K162" s="1">
        <v>0.28707482993197275</v>
      </c>
      <c r="L162" s="1">
        <v>0.0</v>
      </c>
      <c r="M162" s="1">
        <v>0.0</v>
      </c>
      <c r="N162" s="1">
        <v>0.9999999403953552</v>
      </c>
      <c r="O162" s="1">
        <v>0.9999999403953552</v>
      </c>
    </row>
    <row r="163" ht="15.75" customHeight="1">
      <c r="A163" s="1" t="s">
        <v>59</v>
      </c>
      <c r="B163" s="1" t="s">
        <v>16</v>
      </c>
      <c r="C163" s="1" t="s">
        <v>22</v>
      </c>
      <c r="D163" s="1">
        <v>0.056876113909183505</v>
      </c>
      <c r="E163" s="1">
        <v>0.7276657223701477</v>
      </c>
      <c r="F163" s="1">
        <v>0.7177121043205261</v>
      </c>
      <c r="G163" s="1">
        <v>0.7226547002792358</v>
      </c>
      <c r="H163" s="1">
        <v>0.4681753889674682</v>
      </c>
      <c r="I163" s="1">
        <v>0.12322946175637395</v>
      </c>
      <c r="J163" s="1">
        <v>0.18811881188118812</v>
      </c>
      <c r="K163" s="1">
        <v>0.2814710042432815</v>
      </c>
      <c r="L163" s="1">
        <v>0.0</v>
      </c>
      <c r="M163" s="1">
        <v>0.0</v>
      </c>
      <c r="N163" s="1">
        <v>0.9999999403953552</v>
      </c>
      <c r="O163" s="1">
        <v>0.9999999403953552</v>
      </c>
    </row>
    <row r="164" ht="15.75" customHeight="1">
      <c r="A164" s="1" t="s">
        <v>59</v>
      </c>
      <c r="B164" s="1" t="s">
        <v>16</v>
      </c>
      <c r="C164" s="1" t="s">
        <v>23</v>
      </c>
      <c r="D164" s="1">
        <v>0.037884231903133184</v>
      </c>
      <c r="E164" s="1">
        <v>0.723712682723999</v>
      </c>
      <c r="F164" s="1">
        <v>0.7130594253540039</v>
      </c>
      <c r="G164" s="1">
        <v>0.7183465957641602</v>
      </c>
      <c r="H164" s="1">
        <v>0.4435975609756098</v>
      </c>
      <c r="I164" s="1">
        <v>0.10839694656488551</v>
      </c>
      <c r="J164" s="1">
        <v>0.17530487804878048</v>
      </c>
      <c r="K164" s="1">
        <v>0.2667682926829268</v>
      </c>
      <c r="L164" s="1">
        <v>0.0</v>
      </c>
      <c r="M164" s="1">
        <v>0.0</v>
      </c>
      <c r="N164" s="1">
        <v>0.9999999403953552</v>
      </c>
      <c r="O164" s="1">
        <v>0.9999999403953552</v>
      </c>
    </row>
    <row r="165" ht="15.75" customHeight="1">
      <c r="A165" s="1" t="s">
        <v>59</v>
      </c>
      <c r="B165" s="1" t="s">
        <v>16</v>
      </c>
      <c r="C165" s="1" t="s">
        <v>24</v>
      </c>
      <c r="D165" s="1">
        <v>0.03152445844852444</v>
      </c>
      <c r="E165" s="1">
        <v>0.7248826026916504</v>
      </c>
      <c r="F165" s="1">
        <v>0.7145937085151672</v>
      </c>
      <c r="G165" s="1">
        <v>0.7197014093399048</v>
      </c>
      <c r="H165" s="1">
        <v>0.44341801385681295</v>
      </c>
      <c r="I165" s="1">
        <v>0.1094834232845027</v>
      </c>
      <c r="J165" s="1">
        <v>0.17859892224788299</v>
      </c>
      <c r="K165" s="1">
        <v>0.2802155504234026</v>
      </c>
      <c r="L165" s="1">
        <v>0.0</v>
      </c>
      <c r="M165" s="1">
        <v>0.0</v>
      </c>
      <c r="N165" s="1">
        <v>0.9999999403953552</v>
      </c>
      <c r="O165" s="1">
        <v>0.9999999403953552</v>
      </c>
    </row>
    <row r="166" ht="15.75" customHeight="1">
      <c r="A166" s="1" t="s">
        <v>59</v>
      </c>
      <c r="B166" s="1" t="s">
        <v>16</v>
      </c>
      <c r="C166" s="1" t="s">
        <v>25</v>
      </c>
      <c r="D166" s="1">
        <v>0.03152445844852444</v>
      </c>
      <c r="E166" s="1">
        <v>0.7248826026916504</v>
      </c>
      <c r="F166" s="1">
        <v>0.7145937085151672</v>
      </c>
      <c r="G166" s="1">
        <v>0.7197014093399048</v>
      </c>
      <c r="H166" s="1">
        <v>0.44341801385681295</v>
      </c>
      <c r="I166" s="1">
        <v>0.1094834232845027</v>
      </c>
      <c r="J166" s="1">
        <v>0.17859892224788299</v>
      </c>
      <c r="K166" s="1">
        <v>0.2802155504234026</v>
      </c>
      <c r="L166" s="1">
        <v>0.0</v>
      </c>
      <c r="M166" s="1">
        <v>0.0</v>
      </c>
      <c r="N166" s="1">
        <v>0.9999999403953552</v>
      </c>
      <c r="O166" s="1">
        <v>0.9999999403953552</v>
      </c>
    </row>
    <row r="167" ht="15.75" customHeight="1">
      <c r="A167" s="1" t="s">
        <v>59</v>
      </c>
      <c r="B167" s="1" t="s">
        <v>16</v>
      </c>
      <c r="C167" s="1" t="s">
        <v>26</v>
      </c>
      <c r="D167" s="1">
        <v>0.0669793795824332</v>
      </c>
      <c r="E167" s="1">
        <v>0.7413948774337769</v>
      </c>
      <c r="F167" s="1">
        <v>0.7325479388237</v>
      </c>
      <c r="G167" s="1">
        <v>0.736944854259491</v>
      </c>
      <c r="H167" s="1">
        <v>0.4903623747108713</v>
      </c>
      <c r="I167" s="1">
        <v>0.13745173745173747</v>
      </c>
      <c r="J167" s="1">
        <v>0.2035466461063994</v>
      </c>
      <c r="K167" s="1">
        <v>0.25597532767925985</v>
      </c>
      <c r="L167" s="1">
        <v>0.0</v>
      </c>
      <c r="M167" s="1">
        <v>0.0</v>
      </c>
      <c r="N167" s="1">
        <v>0.9999999403953552</v>
      </c>
      <c r="O167" s="1">
        <v>0.9999999403953552</v>
      </c>
    </row>
    <row r="168" ht="15.75" customHeight="1">
      <c r="A168" s="1" t="s">
        <v>59</v>
      </c>
      <c r="B168" s="1" t="s">
        <v>16</v>
      </c>
      <c r="C168" s="1" t="s">
        <v>27</v>
      </c>
      <c r="D168" s="1">
        <v>0.06476429875913461</v>
      </c>
      <c r="E168" s="1">
        <v>0.7443972826004028</v>
      </c>
      <c r="F168" s="1">
        <v>0.7306452989578247</v>
      </c>
      <c r="G168" s="1">
        <v>0.7374571561813354</v>
      </c>
      <c r="H168" s="1">
        <v>0.4945904173106646</v>
      </c>
      <c r="I168" s="1">
        <v>0.1408668730650155</v>
      </c>
      <c r="J168" s="1">
        <v>0.20401854714064913</v>
      </c>
      <c r="K168" s="1">
        <v>0.2596599690880989</v>
      </c>
      <c r="L168" s="1">
        <v>0.0</v>
      </c>
      <c r="M168" s="1">
        <v>0.0</v>
      </c>
      <c r="N168" s="1">
        <v>0.9999999403953552</v>
      </c>
      <c r="O168" s="1">
        <v>0.9999999403953552</v>
      </c>
    </row>
    <row r="169" ht="15.75" customHeight="1">
      <c r="A169" s="1" t="s">
        <v>59</v>
      </c>
      <c r="B169" s="1" t="s">
        <v>16</v>
      </c>
      <c r="C169" s="1" t="s">
        <v>28</v>
      </c>
      <c r="D169" s="1">
        <v>0.05866973461636469</v>
      </c>
      <c r="E169" s="1">
        <v>0.7438154816627502</v>
      </c>
      <c r="F169" s="1">
        <v>0.7312800884246826</v>
      </c>
      <c r="G169" s="1">
        <v>0.7374945282936096</v>
      </c>
      <c r="H169" s="1">
        <v>0.48596631916599836</v>
      </c>
      <c r="I169" s="1">
        <v>0.1429718875502008</v>
      </c>
      <c r="J169" s="1">
        <v>0.1988773055332799</v>
      </c>
      <c r="K169" s="1">
        <v>0.2758620689655173</v>
      </c>
      <c r="L169" s="1">
        <v>0.0</v>
      </c>
      <c r="M169" s="1">
        <v>0.0</v>
      </c>
      <c r="N169" s="1">
        <v>0.9999999403953552</v>
      </c>
      <c r="O169" s="1">
        <v>0.9999999403953552</v>
      </c>
    </row>
    <row r="170" ht="15.75" customHeight="1">
      <c r="A170" s="1" t="s">
        <v>59</v>
      </c>
      <c r="B170" s="1" t="s">
        <v>16</v>
      </c>
      <c r="C170" s="1" t="s">
        <v>29</v>
      </c>
      <c r="D170" s="1">
        <v>0.08439635494575806</v>
      </c>
      <c r="E170" s="1">
        <v>0.7463844418525696</v>
      </c>
      <c r="F170" s="1">
        <v>0.7293275594711304</v>
      </c>
      <c r="G170" s="1">
        <v>0.7377573847770691</v>
      </c>
      <c r="H170" s="1">
        <v>0.47101449275362317</v>
      </c>
      <c r="I170" s="1">
        <v>0.14513788098693758</v>
      </c>
      <c r="J170" s="1">
        <v>0.19130434782608693</v>
      </c>
      <c r="K170" s="1">
        <v>0.2782608695652174</v>
      </c>
      <c r="L170" s="1">
        <v>0.0</v>
      </c>
      <c r="M170" s="1">
        <v>0.0</v>
      </c>
      <c r="N170" s="1">
        <v>0.9999999403953552</v>
      </c>
      <c r="O170" s="1">
        <v>0.9999999403953552</v>
      </c>
    </row>
    <row r="171" ht="15.75" customHeight="1">
      <c r="A171" s="1" t="s">
        <v>59</v>
      </c>
      <c r="B171" s="1" t="s">
        <v>16</v>
      </c>
      <c r="C171" s="1" t="s">
        <v>30</v>
      </c>
      <c r="D171" s="1">
        <v>0.07628443956369929</v>
      </c>
      <c r="E171" s="1">
        <v>0.7468957901000977</v>
      </c>
      <c r="F171" s="1">
        <v>0.7260987758636475</v>
      </c>
      <c r="G171" s="1">
        <v>0.7363504767417908</v>
      </c>
      <c r="H171" s="1">
        <v>0.4722222222222222</v>
      </c>
      <c r="I171" s="1">
        <v>0.15220949263502453</v>
      </c>
      <c r="J171" s="1">
        <v>0.19934640522875816</v>
      </c>
      <c r="K171" s="1">
        <v>0.2761437908496732</v>
      </c>
      <c r="L171" s="1">
        <v>0.0</v>
      </c>
      <c r="M171" s="1">
        <v>0.0</v>
      </c>
      <c r="N171" s="1">
        <v>0.7693519592285156</v>
      </c>
      <c r="O171" s="1">
        <v>0.7693519592285156</v>
      </c>
    </row>
    <row r="172" ht="15.75" customHeight="1">
      <c r="A172" s="1" t="s">
        <v>59</v>
      </c>
      <c r="B172" s="1" t="s">
        <v>16</v>
      </c>
      <c r="C172" s="1" t="s">
        <v>31</v>
      </c>
      <c r="D172" s="1">
        <v>0.07701184290154624</v>
      </c>
      <c r="E172" s="1">
        <v>0.74605393409729</v>
      </c>
      <c r="F172" s="1">
        <v>0.7054548263549805</v>
      </c>
      <c r="G172" s="1">
        <v>0.7251865863800049</v>
      </c>
      <c r="H172" s="1">
        <v>0.4438943894389439</v>
      </c>
      <c r="I172" s="1">
        <v>0.12892561983471074</v>
      </c>
      <c r="J172" s="1">
        <v>0.20132013201320131</v>
      </c>
      <c r="K172" s="1">
        <v>0.2623762376237624</v>
      </c>
      <c r="L172" s="1">
        <v>0.0</v>
      </c>
      <c r="M172" s="1">
        <v>0.0</v>
      </c>
      <c r="N172" s="1">
        <v>0.9999999403953552</v>
      </c>
      <c r="O172" s="1">
        <v>0.9999999403953552</v>
      </c>
    </row>
    <row r="173" ht="15.75" customHeight="1">
      <c r="A173" s="1" t="s">
        <v>59</v>
      </c>
      <c r="B173" s="1" t="s">
        <v>16</v>
      </c>
      <c r="C173" s="1" t="s">
        <v>32</v>
      </c>
      <c r="D173" s="1">
        <v>0.06080751726679243</v>
      </c>
      <c r="E173" s="1">
        <v>0.7278763651847839</v>
      </c>
      <c r="F173" s="1">
        <v>0.7148278951644897</v>
      </c>
      <c r="G173" s="1">
        <v>0.7212931513786316</v>
      </c>
      <c r="H173" s="1">
        <v>0.46988847583643123</v>
      </c>
      <c r="I173" s="1">
        <v>0.1325390915860015</v>
      </c>
      <c r="J173" s="1">
        <v>0.2037174721189591</v>
      </c>
      <c r="K173" s="1">
        <v>0.26022304832713755</v>
      </c>
      <c r="L173" s="1">
        <v>0.0</v>
      </c>
      <c r="M173" s="1">
        <v>0.0</v>
      </c>
      <c r="N173" s="1">
        <v>0.9999999403953552</v>
      </c>
      <c r="O173" s="1">
        <v>0.9999999403953552</v>
      </c>
    </row>
    <row r="174" ht="15.75" customHeight="1">
      <c r="A174" s="1" t="s">
        <v>59</v>
      </c>
      <c r="B174" s="1" t="s">
        <v>16</v>
      </c>
      <c r="C174" s="1" t="s">
        <v>33</v>
      </c>
      <c r="D174" s="1">
        <v>0.04969625150478928</v>
      </c>
      <c r="E174" s="1">
        <v>0.7278763651847839</v>
      </c>
      <c r="F174" s="1">
        <v>0.7148278951644897</v>
      </c>
      <c r="G174" s="1">
        <v>0.7212931513786316</v>
      </c>
      <c r="H174" s="1">
        <v>0.47730829420970267</v>
      </c>
      <c r="I174" s="1">
        <v>0.12695924764890285</v>
      </c>
      <c r="J174" s="1">
        <v>0.1971830985915493</v>
      </c>
      <c r="K174" s="1">
        <v>0.24569640062597808</v>
      </c>
      <c r="L174" s="1">
        <v>0.0</v>
      </c>
      <c r="M174" s="1">
        <v>0.0</v>
      </c>
      <c r="N174" s="1">
        <v>0.9999999403953552</v>
      </c>
      <c r="O174" s="1">
        <v>0.9999999403953552</v>
      </c>
    </row>
    <row r="175" ht="15.75" customHeight="1">
      <c r="A175" s="1" t="s">
        <v>59</v>
      </c>
      <c r="B175" s="1" t="s">
        <v>16</v>
      </c>
      <c r="C175" s="1" t="s">
        <v>34</v>
      </c>
      <c r="D175" s="1">
        <v>0.04569050056931955</v>
      </c>
      <c r="E175" s="1">
        <v>0.7293891906738281</v>
      </c>
      <c r="F175" s="1">
        <v>0.7193130850791931</v>
      </c>
      <c r="G175" s="1">
        <v>0.7243161201477051</v>
      </c>
      <c r="H175" s="1">
        <v>0.4745484400656814</v>
      </c>
      <c r="I175" s="1">
        <v>0.12171052631578948</v>
      </c>
      <c r="J175" s="1">
        <v>0.19211822660098524</v>
      </c>
      <c r="K175" s="1">
        <v>0.27257799671592775</v>
      </c>
      <c r="L175" s="1">
        <v>0.0</v>
      </c>
      <c r="M175" s="1">
        <v>0.0</v>
      </c>
      <c r="N175" s="1">
        <v>0.9999999403953552</v>
      </c>
      <c r="O175" s="1">
        <v>0.9999999403953552</v>
      </c>
    </row>
    <row r="176" ht="15.75" customHeight="1">
      <c r="A176" s="1" t="s">
        <v>59</v>
      </c>
      <c r="B176" s="1" t="s">
        <v>16</v>
      </c>
      <c r="C176" s="1" t="s">
        <v>35</v>
      </c>
      <c r="D176" s="1">
        <v>0.06466914459398332</v>
      </c>
      <c r="E176" s="1">
        <v>0.7527706623077393</v>
      </c>
      <c r="F176" s="1">
        <v>0.7340310215950012</v>
      </c>
      <c r="G176" s="1">
        <v>0.7432827353477478</v>
      </c>
      <c r="H176" s="1">
        <v>0.47491039426523296</v>
      </c>
      <c r="I176" s="1">
        <v>0.13644524236983843</v>
      </c>
      <c r="J176" s="1">
        <v>0.18996415770609318</v>
      </c>
      <c r="K176" s="1">
        <v>0.2831541218637993</v>
      </c>
      <c r="L176" s="1">
        <v>0.0</v>
      </c>
      <c r="M176" s="1">
        <v>0.0</v>
      </c>
      <c r="N176" s="1">
        <v>0.9999999403953552</v>
      </c>
      <c r="O176" s="1">
        <v>0.9999999403953552</v>
      </c>
    </row>
    <row r="177" ht="15.75" customHeight="1">
      <c r="A177" s="1" t="s">
        <v>59</v>
      </c>
      <c r="B177" s="1" t="s">
        <v>16</v>
      </c>
      <c r="C177" s="1" t="s">
        <v>36</v>
      </c>
      <c r="D177" s="1">
        <v>0.06893928875892134</v>
      </c>
      <c r="E177" s="1">
        <v>0.7467936873435974</v>
      </c>
      <c r="F177" s="1">
        <v>0.7264002561569214</v>
      </c>
      <c r="G177" s="1">
        <v>0.7364558577537537</v>
      </c>
      <c r="H177" s="1">
        <v>0.4730639730639731</v>
      </c>
      <c r="I177" s="1">
        <v>0.12141652613827994</v>
      </c>
      <c r="J177" s="1">
        <v>0.18518518518518517</v>
      </c>
      <c r="K177" s="1">
        <v>0.2727272727272727</v>
      </c>
      <c r="L177" s="1">
        <v>0.0</v>
      </c>
      <c r="M177" s="1">
        <v>0.0</v>
      </c>
      <c r="N177" s="1">
        <v>0.9999999403953552</v>
      </c>
      <c r="O177" s="1">
        <v>0.9999999403953552</v>
      </c>
    </row>
    <row r="178" ht="15.75" customHeight="1">
      <c r="A178" s="1" t="s">
        <v>59</v>
      </c>
      <c r="B178" s="1" t="s">
        <v>16</v>
      </c>
      <c r="C178" s="1" t="s">
        <v>37</v>
      </c>
      <c r="D178" s="1">
        <v>0.05990229665732523</v>
      </c>
      <c r="E178" s="1">
        <v>0.7435173988342285</v>
      </c>
      <c r="F178" s="1">
        <v>0.7292792797088623</v>
      </c>
      <c r="G178" s="1">
        <v>0.7363295555114746</v>
      </c>
      <c r="H178" s="1">
        <v>0.4674085850556439</v>
      </c>
      <c r="I178" s="1">
        <v>0.12898089171974522</v>
      </c>
      <c r="J178" s="1">
        <v>0.18600953895071545</v>
      </c>
      <c r="K178" s="1">
        <v>0.273449920508744</v>
      </c>
      <c r="L178" s="1">
        <v>0.0</v>
      </c>
      <c r="M178" s="1">
        <v>0.0</v>
      </c>
      <c r="N178" s="1">
        <v>0.7693519592285156</v>
      </c>
      <c r="O178" s="1">
        <v>0.7693519592285156</v>
      </c>
    </row>
    <row r="179" ht="15.75" customHeight="1">
      <c r="A179" s="1" t="s">
        <v>59</v>
      </c>
      <c r="B179" s="1" t="s">
        <v>16</v>
      </c>
      <c r="C179" s="1" t="s">
        <v>38</v>
      </c>
      <c r="D179" s="1">
        <v>0.06326950484890353</v>
      </c>
      <c r="E179" s="1">
        <v>0.7318432927131653</v>
      </c>
      <c r="F179" s="1">
        <v>0.7157224416732788</v>
      </c>
      <c r="G179" s="1">
        <v>0.7236930727958679</v>
      </c>
      <c r="H179" s="1">
        <v>0.46713070378963656</v>
      </c>
      <c r="I179" s="1">
        <v>0.1192873741285825</v>
      </c>
      <c r="J179" s="1">
        <v>0.19798917246713071</v>
      </c>
      <c r="K179" s="1">
        <v>0.2877030162412993</v>
      </c>
      <c r="L179" s="1">
        <v>0.0</v>
      </c>
      <c r="M179" s="1">
        <v>0.0</v>
      </c>
      <c r="N179" s="1">
        <v>0.9999999403953552</v>
      </c>
      <c r="O179" s="1">
        <v>0.9999999403953552</v>
      </c>
    </row>
    <row r="180" ht="15.75" customHeight="1">
      <c r="A180" s="1" t="s">
        <v>59</v>
      </c>
      <c r="B180" s="1" t="s">
        <v>16</v>
      </c>
      <c r="C180" s="1" t="s">
        <v>39</v>
      </c>
      <c r="D180" s="1">
        <v>0.04005013069037849</v>
      </c>
      <c r="E180" s="1">
        <v>0.7316231727600098</v>
      </c>
      <c r="F180" s="1">
        <v>0.7157592177391052</v>
      </c>
      <c r="G180" s="1">
        <v>0.7236042022705078</v>
      </c>
      <c r="H180" s="1">
        <v>0.44058500914076787</v>
      </c>
      <c r="I180" s="1">
        <v>0.1043956043956044</v>
      </c>
      <c r="J180" s="1">
        <v>0.18464351005484464</v>
      </c>
      <c r="K180" s="1">
        <v>0.2705667276051188</v>
      </c>
      <c r="L180" s="1">
        <v>0.0</v>
      </c>
      <c r="M180" s="1">
        <v>0.0</v>
      </c>
      <c r="N180" s="1">
        <v>0.9999999403953552</v>
      </c>
      <c r="O180" s="1">
        <v>0.9999999403953552</v>
      </c>
    </row>
    <row r="181" ht="15.75" customHeight="1">
      <c r="A181" s="1" t="s">
        <v>59</v>
      </c>
      <c r="B181" s="1" t="s">
        <v>16</v>
      </c>
      <c r="C181" s="1" t="s">
        <v>40</v>
      </c>
      <c r="D181" s="1">
        <v>0.0525325410673605</v>
      </c>
      <c r="E181" s="1">
        <v>0.7207369208335876</v>
      </c>
      <c r="F181" s="1">
        <v>0.7246726751327515</v>
      </c>
      <c r="G181" s="1">
        <v>0.7226994633674622</v>
      </c>
      <c r="H181" s="1">
        <v>0.4151260504201681</v>
      </c>
      <c r="I181" s="1">
        <v>0.10606060606060606</v>
      </c>
      <c r="J181" s="1">
        <v>0.173109243697479</v>
      </c>
      <c r="K181" s="1">
        <v>0.24033613445378152</v>
      </c>
      <c r="L181" s="1">
        <v>0.0</v>
      </c>
      <c r="M181" s="1">
        <v>0.0</v>
      </c>
      <c r="N181" s="1">
        <v>0.9999999403953552</v>
      </c>
      <c r="O181" s="1">
        <v>0.9999999403953552</v>
      </c>
    </row>
    <row r="182" ht="15.75" customHeight="1">
      <c r="A182" s="1" t="s">
        <v>59</v>
      </c>
      <c r="B182" s="1" t="s">
        <v>16</v>
      </c>
      <c r="C182" s="1" t="s">
        <v>41</v>
      </c>
      <c r="D182" s="1">
        <v>0.024143386010189123</v>
      </c>
      <c r="E182" s="1">
        <v>0.738052487373352</v>
      </c>
      <c r="F182" s="1">
        <v>0.7264969944953918</v>
      </c>
      <c r="G182" s="1">
        <v>0.7322291135787964</v>
      </c>
      <c r="H182" s="1">
        <v>0.400375939849624</v>
      </c>
      <c r="I182" s="1">
        <v>0.11864406779661019</v>
      </c>
      <c r="J182" s="1">
        <v>0.17857142857142858</v>
      </c>
      <c r="K182" s="1">
        <v>0.24248120300751883</v>
      </c>
      <c r="L182" s="1">
        <v>0.7023138999938965</v>
      </c>
      <c r="M182" s="1">
        <v>0.7023138999938965</v>
      </c>
      <c r="N182" s="1">
        <v>0.7023138999938965</v>
      </c>
      <c r="O182" s="1">
        <v>0.7023138999938965</v>
      </c>
    </row>
    <row r="183" ht="15.75" customHeight="1">
      <c r="A183" s="1" t="s">
        <v>59</v>
      </c>
      <c r="B183" s="1" t="s">
        <v>16</v>
      </c>
      <c r="C183" s="1" t="s">
        <v>42</v>
      </c>
      <c r="D183" s="1">
        <v>0.03799755314826677</v>
      </c>
      <c r="E183" s="1">
        <v>0.7417626976966858</v>
      </c>
      <c r="F183" s="1">
        <v>0.7207703590393066</v>
      </c>
      <c r="G183" s="1">
        <v>0.7311158776283264</v>
      </c>
      <c r="H183" s="1">
        <v>0.3981818181818182</v>
      </c>
      <c r="I183" s="1">
        <v>0.1202185792349727</v>
      </c>
      <c r="J183" s="1">
        <v>0.17454545454545453</v>
      </c>
      <c r="K183" s="1">
        <v>0.23090909090909092</v>
      </c>
      <c r="L183" s="1">
        <v>0.0</v>
      </c>
      <c r="M183" s="1">
        <v>0.0</v>
      </c>
      <c r="N183" s="1">
        <v>0.7693519592285156</v>
      </c>
      <c r="O183" s="1">
        <v>0.7693519592285156</v>
      </c>
    </row>
    <row r="184" ht="15.75" customHeight="1">
      <c r="A184" s="1" t="s">
        <v>59</v>
      </c>
      <c r="B184" s="1" t="s">
        <v>16</v>
      </c>
      <c r="C184" s="1" t="s">
        <v>43</v>
      </c>
      <c r="D184" s="1">
        <v>0.026282073263141113</v>
      </c>
      <c r="E184" s="1">
        <v>0.7215042114257812</v>
      </c>
      <c r="F184" s="1">
        <v>0.7207000851631165</v>
      </c>
      <c r="G184" s="1">
        <v>0.7211019396781921</v>
      </c>
      <c r="H184" s="1">
        <v>0.385499557913351</v>
      </c>
      <c r="I184" s="1">
        <v>0.08857395925597875</v>
      </c>
      <c r="J184" s="1">
        <v>0.16799292661361628</v>
      </c>
      <c r="K184" s="1">
        <v>0.23519009725906276</v>
      </c>
      <c r="L184" s="1">
        <v>0.8271334767341614</v>
      </c>
      <c r="M184" s="1">
        <v>0.8271334767341614</v>
      </c>
      <c r="N184" s="1">
        <v>0.8271334767341614</v>
      </c>
      <c r="O184" s="1">
        <v>0.8271334767341614</v>
      </c>
    </row>
    <row r="185" ht="15.75" customHeight="1">
      <c r="A185" s="1" t="s">
        <v>59</v>
      </c>
      <c r="B185" s="1" t="s">
        <v>16</v>
      </c>
      <c r="C185" s="1" t="s">
        <v>44</v>
      </c>
      <c r="D185" s="1">
        <v>0.02588242521914685</v>
      </c>
      <c r="E185" s="1">
        <v>0.7410961985588074</v>
      </c>
      <c r="F185" s="1">
        <v>0.714115560054779</v>
      </c>
      <c r="G185" s="1">
        <v>0.7273557782173157</v>
      </c>
      <c r="H185" s="1">
        <v>0.36751269035532996</v>
      </c>
      <c r="I185" s="1">
        <v>0.08341810783316378</v>
      </c>
      <c r="J185" s="1">
        <v>0.16243654822335027</v>
      </c>
      <c r="K185" s="1">
        <v>0.2152284263959391</v>
      </c>
      <c r="L185" s="1">
        <v>0.0</v>
      </c>
      <c r="M185" s="1">
        <v>0.0</v>
      </c>
      <c r="N185" s="1">
        <v>0.7693519592285156</v>
      </c>
      <c r="O185" s="1">
        <v>0.7693519592285156</v>
      </c>
    </row>
    <row r="186" ht="15.75" customHeight="1">
      <c r="A186" s="1" t="s">
        <v>59</v>
      </c>
      <c r="B186" s="1" t="s">
        <v>16</v>
      </c>
      <c r="C186" s="1" t="s">
        <v>45</v>
      </c>
      <c r="D186" s="1">
        <v>0.02588242521914685</v>
      </c>
      <c r="E186" s="1">
        <v>0.7410961985588074</v>
      </c>
      <c r="F186" s="1">
        <v>0.714115560054779</v>
      </c>
      <c r="G186" s="1">
        <v>0.7273557782173157</v>
      </c>
      <c r="H186" s="1">
        <v>0.36751269035532996</v>
      </c>
      <c r="I186" s="1">
        <v>0.08341810783316378</v>
      </c>
      <c r="J186" s="1">
        <v>0.16243654822335027</v>
      </c>
      <c r="K186" s="1">
        <v>0.2152284263959391</v>
      </c>
      <c r="L186" s="1">
        <v>0.0</v>
      </c>
      <c r="M186" s="1">
        <v>0.0</v>
      </c>
      <c r="N186" s="1">
        <v>0.7693519592285156</v>
      </c>
      <c r="O186" s="1">
        <v>0.7693519592285156</v>
      </c>
    </row>
    <row r="187" ht="15.75" customHeight="1">
      <c r="A187" s="1" t="s">
        <v>59</v>
      </c>
      <c r="B187" s="1" t="s">
        <v>16</v>
      </c>
      <c r="C187" s="1" t="s">
        <v>46</v>
      </c>
      <c r="D187" s="1">
        <v>0.03268272469689471</v>
      </c>
      <c r="E187" s="1">
        <v>0.7386230826377869</v>
      </c>
      <c r="F187" s="1">
        <v>0.7118315100669861</v>
      </c>
      <c r="G187" s="1">
        <v>0.7249798774719238</v>
      </c>
      <c r="H187" s="1">
        <v>0.3794772507260407</v>
      </c>
      <c r="I187" s="1">
        <v>0.12221144519883607</v>
      </c>
      <c r="J187" s="1">
        <v>0.17812197483059047</v>
      </c>
      <c r="K187" s="1">
        <v>0.2323330106485963</v>
      </c>
      <c r="L187" s="1">
        <v>0.0</v>
      </c>
      <c r="M187" s="1">
        <v>0.0</v>
      </c>
      <c r="N187" s="1">
        <v>0.7693519592285156</v>
      </c>
      <c r="O187" s="1">
        <v>0.7693519592285156</v>
      </c>
    </row>
    <row r="188" ht="15.75" customHeight="1">
      <c r="A188" s="1" t="s">
        <v>59</v>
      </c>
      <c r="B188" s="1" t="s">
        <v>16</v>
      </c>
      <c r="C188" s="1" t="s">
        <v>47</v>
      </c>
      <c r="D188" s="1">
        <v>0.05948774063831823</v>
      </c>
      <c r="E188" s="1">
        <v>0.749173641204834</v>
      </c>
      <c r="F188" s="1">
        <v>0.7357031106948853</v>
      </c>
      <c r="G188" s="1">
        <v>0.7423772811889648</v>
      </c>
      <c r="H188" s="1">
        <v>0.4372331340734415</v>
      </c>
      <c r="I188" s="1">
        <v>0.10265183917878529</v>
      </c>
      <c r="J188" s="1">
        <v>0.1861656703672075</v>
      </c>
      <c r="K188" s="1">
        <v>0.26131511528608026</v>
      </c>
      <c r="L188" s="1">
        <v>0.0</v>
      </c>
      <c r="M188" s="1">
        <v>0.0</v>
      </c>
      <c r="N188" s="1">
        <v>0.9999999403953552</v>
      </c>
      <c r="O188" s="1">
        <v>0.9999999403953552</v>
      </c>
    </row>
    <row r="189" ht="15.75" customHeight="1">
      <c r="A189" s="1" t="s">
        <v>59</v>
      </c>
      <c r="B189" s="1" t="s">
        <v>16</v>
      </c>
      <c r="C189" s="1" t="s">
        <v>48</v>
      </c>
      <c r="D189" s="1">
        <v>0.0635827629706633</v>
      </c>
      <c r="E189" s="1">
        <v>0.735614538192749</v>
      </c>
      <c r="F189" s="1">
        <v>0.7281814813613892</v>
      </c>
      <c r="G189" s="1">
        <v>0.7318791151046753</v>
      </c>
      <c r="H189" s="1">
        <v>0.40993788819875776</v>
      </c>
      <c r="I189" s="1">
        <v>0.11022222222222222</v>
      </c>
      <c r="J189" s="1">
        <v>0.1739130434782609</v>
      </c>
      <c r="K189" s="1">
        <v>0.2573203194321207</v>
      </c>
      <c r="L189" s="1">
        <v>0.7023138999938965</v>
      </c>
      <c r="M189" s="1">
        <v>0.7023138999938965</v>
      </c>
      <c r="N189" s="1">
        <v>0.7023138999938965</v>
      </c>
      <c r="O189" s="1">
        <v>0.7023138999938965</v>
      </c>
    </row>
    <row r="190" ht="15.75" customHeight="1">
      <c r="A190" s="1" t="s">
        <v>59</v>
      </c>
      <c r="B190" s="1" t="s">
        <v>16</v>
      </c>
      <c r="C190" s="1" t="s">
        <v>49</v>
      </c>
      <c r="D190" s="1">
        <v>0.040839188435604974</v>
      </c>
      <c r="E190" s="1">
        <v>0.7379607558250427</v>
      </c>
      <c r="F190" s="1">
        <v>0.7248634099960327</v>
      </c>
      <c r="G190" s="1">
        <v>0.7313534617424011</v>
      </c>
      <c r="H190" s="1">
        <v>0.39243924392439244</v>
      </c>
      <c r="I190" s="1">
        <v>0.07935076645626692</v>
      </c>
      <c r="J190" s="1">
        <v>0.16741674167416742</v>
      </c>
      <c r="K190" s="1">
        <v>0.21422142214221424</v>
      </c>
      <c r="L190" s="1">
        <v>0.0</v>
      </c>
      <c r="M190" s="1">
        <v>0.0</v>
      </c>
      <c r="N190" s="1">
        <v>0.9999999403953552</v>
      </c>
      <c r="O190" s="1">
        <v>0.9999999403953552</v>
      </c>
    </row>
    <row r="191" ht="15.75" customHeight="1">
      <c r="A191" s="1" t="s">
        <v>59</v>
      </c>
      <c r="B191" s="1" t="s">
        <v>16</v>
      </c>
      <c r="C191" s="1" t="s">
        <v>50</v>
      </c>
      <c r="D191" s="1">
        <v>0.0</v>
      </c>
      <c r="E191" s="1">
        <v>0.660815954208374</v>
      </c>
      <c r="F191" s="1">
        <v>0.6451398134231567</v>
      </c>
      <c r="G191" s="1">
        <v>0.652883768081665</v>
      </c>
      <c r="H191" s="1">
        <v>0.3564154786150713</v>
      </c>
      <c r="I191" s="1">
        <v>0.0836734693877551</v>
      </c>
      <c r="J191" s="1">
        <v>0.18329938900203668</v>
      </c>
      <c r="K191" s="1">
        <v>0.1934826883910387</v>
      </c>
      <c r="L191" s="1">
        <v>0.0</v>
      </c>
      <c r="M191" s="1">
        <v>0.0</v>
      </c>
      <c r="N191" s="1">
        <v>0.8277580142021179</v>
      </c>
      <c r="O191" s="1">
        <v>0.8277580142021179</v>
      </c>
    </row>
    <row r="192" ht="15.75" customHeight="1">
      <c r="A192" s="1" t="s">
        <v>59</v>
      </c>
      <c r="B192" s="1" t="s">
        <v>16</v>
      </c>
      <c r="C192" s="1" t="s">
        <v>51</v>
      </c>
      <c r="D192" s="1">
        <v>0.0</v>
      </c>
      <c r="E192" s="1">
        <v>0.660815954208374</v>
      </c>
      <c r="F192" s="1">
        <v>0.6451398134231567</v>
      </c>
      <c r="G192" s="1">
        <v>0.652883768081665</v>
      </c>
      <c r="H192" s="1">
        <v>0.3564154786150713</v>
      </c>
      <c r="I192" s="1">
        <v>0.0836734693877551</v>
      </c>
      <c r="J192" s="1">
        <v>0.18329938900203668</v>
      </c>
      <c r="K192" s="1">
        <v>0.1934826883910387</v>
      </c>
      <c r="L192" s="1">
        <v>0.0</v>
      </c>
      <c r="M192" s="1">
        <v>0.0</v>
      </c>
      <c r="N192" s="1">
        <v>0.8277580142021179</v>
      </c>
      <c r="O192" s="1">
        <v>0.8277580142021179</v>
      </c>
    </row>
    <row r="193" ht="15.75" customHeight="1">
      <c r="A193" s="1" t="s">
        <v>59</v>
      </c>
      <c r="B193" s="1" t="s">
        <v>16</v>
      </c>
      <c r="C193" s="1" t="s">
        <v>52</v>
      </c>
      <c r="D193" s="1">
        <v>0.027245269108118298</v>
      </c>
      <c r="E193" s="1">
        <v>0.7449666857719421</v>
      </c>
      <c r="F193" s="1">
        <v>0.7274115085601807</v>
      </c>
      <c r="G193" s="1">
        <v>0.7360844612121582</v>
      </c>
      <c r="H193" s="1">
        <v>0.4143272023233301</v>
      </c>
      <c r="I193" s="1">
        <v>0.1066925315227934</v>
      </c>
      <c r="J193" s="1">
        <v>0.17618586640851888</v>
      </c>
      <c r="K193" s="1">
        <v>0.2362052274927396</v>
      </c>
      <c r="L193" s="1">
        <v>0.0</v>
      </c>
      <c r="M193" s="1">
        <v>0.0</v>
      </c>
      <c r="N193" s="1">
        <v>0.8277580142021179</v>
      </c>
      <c r="O193" s="1">
        <v>0.8277580142021179</v>
      </c>
    </row>
    <row r="194" ht="15.75" customHeight="1">
      <c r="A194" s="1" t="s">
        <v>59</v>
      </c>
      <c r="B194" s="1" t="s">
        <v>16</v>
      </c>
      <c r="C194" s="1" t="s">
        <v>53</v>
      </c>
      <c r="D194" s="1">
        <v>0.06347715110970356</v>
      </c>
      <c r="E194" s="1">
        <v>0.7468788623809814</v>
      </c>
      <c r="F194" s="1">
        <v>0.7413676977157593</v>
      </c>
      <c r="G194" s="1">
        <v>0.7441130876541138</v>
      </c>
      <c r="H194" s="1">
        <v>0.4995918367346939</v>
      </c>
      <c r="I194" s="1">
        <v>0.14881439084219134</v>
      </c>
      <c r="J194" s="1">
        <v>0.20408163265306123</v>
      </c>
      <c r="K194" s="1">
        <v>0.26448979591836735</v>
      </c>
      <c r="L194" s="1">
        <v>0.0</v>
      </c>
      <c r="M194" s="1">
        <v>0.0</v>
      </c>
      <c r="N194" s="1">
        <v>0.9999999403953552</v>
      </c>
      <c r="O194" s="1">
        <v>0.9999999403953552</v>
      </c>
    </row>
    <row r="195" ht="15.75" customHeight="1">
      <c r="A195" s="1" t="s">
        <v>59</v>
      </c>
      <c r="B195" s="1" t="s">
        <v>16</v>
      </c>
      <c r="C195" s="1" t="s">
        <v>54</v>
      </c>
      <c r="D195" s="1">
        <v>0.07662583224602257</v>
      </c>
      <c r="E195" s="1">
        <v>0.7457675933837891</v>
      </c>
      <c r="F195" s="1">
        <v>0.7422122359275818</v>
      </c>
      <c r="G195" s="1">
        <v>0.7439855933189392</v>
      </c>
      <c r="H195" s="1">
        <v>0.516870064608758</v>
      </c>
      <c r="I195" s="1">
        <v>0.13515456506110712</v>
      </c>
      <c r="J195" s="1">
        <v>0.18951902368987794</v>
      </c>
      <c r="K195" s="1">
        <v>0.2627422828427854</v>
      </c>
      <c r="L195" s="1">
        <v>0.0</v>
      </c>
      <c r="M195" s="1">
        <v>0.0</v>
      </c>
      <c r="N195" s="1">
        <v>0.9999999403953552</v>
      </c>
      <c r="O195" s="1">
        <v>0.9999999403953552</v>
      </c>
    </row>
    <row r="196" ht="15.75" customHeight="1">
      <c r="A196" s="1" t="s">
        <v>59</v>
      </c>
      <c r="B196" s="1" t="s">
        <v>16</v>
      </c>
      <c r="C196" s="1" t="s">
        <v>55</v>
      </c>
      <c r="D196" s="1">
        <v>0.07708339747319241</v>
      </c>
      <c r="E196" s="1">
        <v>0.7461416721343994</v>
      </c>
      <c r="F196" s="1">
        <v>0.737066388130188</v>
      </c>
      <c r="G196" s="1">
        <v>0.7415763139724731</v>
      </c>
      <c r="H196" s="1">
        <v>0.48847926267281105</v>
      </c>
      <c r="I196" s="1">
        <v>0.15384615384615385</v>
      </c>
      <c r="J196" s="1">
        <v>0.19354838709677416</v>
      </c>
      <c r="K196" s="1">
        <v>0.2795698924731183</v>
      </c>
      <c r="L196" s="1">
        <v>0.0</v>
      </c>
      <c r="M196" s="1">
        <v>0.0</v>
      </c>
      <c r="N196" s="1">
        <v>0.9999999403953552</v>
      </c>
      <c r="O196" s="1">
        <v>0.9999999403953552</v>
      </c>
    </row>
    <row r="197" ht="15.75" customHeight="1">
      <c r="A197" s="1" t="s">
        <v>60</v>
      </c>
      <c r="B197" s="1" t="s">
        <v>16</v>
      </c>
      <c r="C197" s="1" t="s">
        <v>17</v>
      </c>
      <c r="D197" s="1">
        <v>0.0707656994772773</v>
      </c>
      <c r="E197" s="1">
        <v>0.7437586784362793</v>
      </c>
      <c r="F197" s="1">
        <v>0.7307406663894653</v>
      </c>
      <c r="G197" s="1">
        <v>0.7371922135353088</v>
      </c>
      <c r="H197" s="1">
        <v>0.5173535791757051</v>
      </c>
      <c r="I197" s="1">
        <v>0.1791530944625407</v>
      </c>
      <c r="J197" s="1">
        <v>0.18872017353579176</v>
      </c>
      <c r="K197" s="1">
        <v>0.2841648590021692</v>
      </c>
      <c r="L197" s="1">
        <v>0.0</v>
      </c>
      <c r="M197" s="1">
        <v>0.0</v>
      </c>
      <c r="N197" s="1">
        <v>0.9999999403953552</v>
      </c>
      <c r="O197" s="1">
        <v>0.9999999403953552</v>
      </c>
    </row>
    <row r="198" ht="15.75" customHeight="1">
      <c r="A198" s="1" t="s">
        <v>60</v>
      </c>
      <c r="B198" s="1" t="s">
        <v>16</v>
      </c>
      <c r="C198" s="1" t="s">
        <v>18</v>
      </c>
      <c r="D198" s="1">
        <v>0.06961911879111932</v>
      </c>
      <c r="E198" s="1">
        <v>0.7465602159500122</v>
      </c>
      <c r="F198" s="1">
        <v>0.7302542328834534</v>
      </c>
      <c r="G198" s="1">
        <v>0.7383171916007996</v>
      </c>
      <c r="H198" s="1">
        <v>0.5183982683982684</v>
      </c>
      <c r="I198" s="1">
        <v>0.17118093174431204</v>
      </c>
      <c r="J198" s="1">
        <v>0.18614718614718614</v>
      </c>
      <c r="K198" s="1">
        <v>0.2824675324675325</v>
      </c>
      <c r="L198" s="1">
        <v>0.0</v>
      </c>
      <c r="M198" s="1">
        <v>0.0</v>
      </c>
      <c r="N198" s="1">
        <v>0.9999999403953552</v>
      </c>
      <c r="O198" s="1">
        <v>0.9999999403953552</v>
      </c>
    </row>
    <row r="199" ht="15.75" customHeight="1">
      <c r="A199" s="1" t="s">
        <v>60</v>
      </c>
      <c r="B199" s="1" t="s">
        <v>16</v>
      </c>
      <c r="C199" s="1" t="s">
        <v>19</v>
      </c>
      <c r="D199" s="1">
        <v>0.06036187001114117</v>
      </c>
      <c r="E199" s="1">
        <v>0.7471856474876404</v>
      </c>
      <c r="F199" s="1">
        <v>0.7358137369155884</v>
      </c>
      <c r="G199" s="1">
        <v>0.741456151008606</v>
      </c>
      <c r="H199" s="1">
        <v>0.49849246231155786</v>
      </c>
      <c r="I199" s="1">
        <v>0.17002012072434608</v>
      </c>
      <c r="J199" s="1">
        <v>0.1809045226130653</v>
      </c>
      <c r="K199" s="1">
        <v>0.27537688442211056</v>
      </c>
      <c r="L199" s="1">
        <v>0.0</v>
      </c>
      <c r="M199" s="1">
        <v>0.0</v>
      </c>
      <c r="N199" s="1">
        <v>0.9999999403953552</v>
      </c>
      <c r="O199" s="1">
        <v>0.9999999403953552</v>
      </c>
    </row>
    <row r="200" ht="15.75" customHeight="1">
      <c r="A200" s="1" t="s">
        <v>60</v>
      </c>
      <c r="B200" s="1" t="s">
        <v>16</v>
      </c>
      <c r="C200" s="1" t="s">
        <v>20</v>
      </c>
      <c r="D200" s="1">
        <v>0.0739167136393035</v>
      </c>
      <c r="E200" s="1">
        <v>0.7356952428817749</v>
      </c>
      <c r="F200" s="1">
        <v>0.7210648059844971</v>
      </c>
      <c r="G200" s="1">
        <v>0.7283065915107727</v>
      </c>
      <c r="H200" s="1">
        <v>0.5151719487525287</v>
      </c>
      <c r="I200" s="1">
        <v>0.14989871708305197</v>
      </c>
      <c r="J200" s="1">
        <v>0.19689817936614967</v>
      </c>
      <c r="K200" s="1">
        <v>0.3007417397167903</v>
      </c>
      <c r="L200" s="1">
        <v>0.0</v>
      </c>
      <c r="M200" s="1">
        <v>0.0</v>
      </c>
      <c r="N200" s="1">
        <v>0.9999999403953552</v>
      </c>
      <c r="O200" s="1">
        <v>0.9999999403953552</v>
      </c>
    </row>
    <row r="201" ht="15.75" customHeight="1">
      <c r="A201" s="1" t="s">
        <v>60</v>
      </c>
      <c r="B201" s="1" t="s">
        <v>16</v>
      </c>
      <c r="C201" s="1" t="s">
        <v>21</v>
      </c>
      <c r="D201" s="1">
        <v>0.08968896310691768</v>
      </c>
      <c r="E201" s="1">
        <v>0.7419189810752869</v>
      </c>
      <c r="F201" s="1">
        <v>0.7299197912216187</v>
      </c>
      <c r="G201" s="1">
        <v>0.7358704805374146</v>
      </c>
      <c r="H201" s="1">
        <v>0.5375240538806928</v>
      </c>
      <c r="I201" s="1">
        <v>0.17597944765574824</v>
      </c>
      <c r="J201" s="1">
        <v>0.20012828736369467</v>
      </c>
      <c r="K201" s="1">
        <v>0.29762668377164847</v>
      </c>
      <c r="L201" s="1">
        <v>0.0</v>
      </c>
      <c r="M201" s="1">
        <v>0.0</v>
      </c>
      <c r="N201" s="1">
        <v>0.9999999403953552</v>
      </c>
      <c r="O201" s="1">
        <v>0.9999999403953552</v>
      </c>
    </row>
    <row r="202" ht="15.75" customHeight="1">
      <c r="A202" s="1" t="s">
        <v>60</v>
      </c>
      <c r="B202" s="1" t="s">
        <v>16</v>
      </c>
      <c r="C202" s="1" t="s">
        <v>22</v>
      </c>
      <c r="D202" s="1">
        <v>0.08251863039032595</v>
      </c>
      <c r="E202" s="1">
        <v>0.7460528612136841</v>
      </c>
      <c r="F202" s="1">
        <v>0.7287774085998535</v>
      </c>
      <c r="G202" s="1">
        <v>0.737313985824585</v>
      </c>
      <c r="H202" s="1">
        <v>0.5109780439121756</v>
      </c>
      <c r="I202" s="1">
        <v>0.15722851432378412</v>
      </c>
      <c r="J202" s="1">
        <v>0.20093147039254824</v>
      </c>
      <c r="K202" s="1">
        <v>0.29008649367930806</v>
      </c>
      <c r="L202" s="1">
        <v>0.0</v>
      </c>
      <c r="M202" s="1">
        <v>0.0</v>
      </c>
      <c r="N202" s="1">
        <v>0.9999999403953552</v>
      </c>
      <c r="O202" s="1">
        <v>0.9999999403953552</v>
      </c>
    </row>
    <row r="203" ht="15.75" customHeight="1">
      <c r="A203" s="1" t="s">
        <v>60</v>
      </c>
      <c r="B203" s="1" t="s">
        <v>16</v>
      </c>
      <c r="C203" s="1" t="s">
        <v>23</v>
      </c>
      <c r="D203" s="1">
        <v>0.07699390511304764</v>
      </c>
      <c r="E203" s="1">
        <v>0.743644118309021</v>
      </c>
      <c r="F203" s="1">
        <v>0.7184867858886719</v>
      </c>
      <c r="G203" s="1">
        <v>0.730849027633667</v>
      </c>
      <c r="H203" s="1">
        <v>0.4925053533190578</v>
      </c>
      <c r="I203" s="1">
        <v>0.14867762687634026</v>
      </c>
      <c r="J203" s="1">
        <v>0.19985724482512487</v>
      </c>
      <c r="K203" s="1">
        <v>0.2940756602426838</v>
      </c>
      <c r="L203" s="1">
        <v>0.0</v>
      </c>
      <c r="M203" s="1">
        <v>0.0</v>
      </c>
      <c r="N203" s="1">
        <v>0.9999999403953552</v>
      </c>
      <c r="O203" s="1">
        <v>0.9999999403953552</v>
      </c>
    </row>
    <row r="204" ht="15.75" customHeight="1">
      <c r="A204" s="1" t="s">
        <v>60</v>
      </c>
      <c r="B204" s="1" t="s">
        <v>16</v>
      </c>
      <c r="C204" s="1" t="s">
        <v>24</v>
      </c>
      <c r="D204" s="1">
        <v>0.07228975439390173</v>
      </c>
      <c r="E204" s="1">
        <v>0.7447216510772705</v>
      </c>
      <c r="F204" s="1">
        <v>0.7182005643844604</v>
      </c>
      <c r="G204" s="1">
        <v>0.7312207221984863</v>
      </c>
      <c r="H204" s="1">
        <v>0.4884726224783862</v>
      </c>
      <c r="I204" s="1">
        <v>0.15151515151515152</v>
      </c>
      <c r="J204" s="1">
        <v>0.19596541786743515</v>
      </c>
      <c r="K204" s="1">
        <v>0.2953890489913545</v>
      </c>
      <c r="L204" s="1">
        <v>0.0</v>
      </c>
      <c r="M204" s="1">
        <v>0.0</v>
      </c>
      <c r="N204" s="1">
        <v>0.9999999403953552</v>
      </c>
      <c r="O204" s="1">
        <v>0.9999999403953552</v>
      </c>
    </row>
    <row r="205" ht="15.75" customHeight="1">
      <c r="A205" s="1" t="s">
        <v>60</v>
      </c>
      <c r="B205" s="1" t="s">
        <v>16</v>
      </c>
      <c r="C205" s="1" t="s">
        <v>25</v>
      </c>
      <c r="D205" s="1">
        <v>0.07228975439390173</v>
      </c>
      <c r="E205" s="1">
        <v>0.7447216510772705</v>
      </c>
      <c r="F205" s="1">
        <v>0.7182005643844604</v>
      </c>
      <c r="G205" s="1">
        <v>0.7312207221984863</v>
      </c>
      <c r="H205" s="1">
        <v>0.4884726224783862</v>
      </c>
      <c r="I205" s="1">
        <v>0.15151515151515152</v>
      </c>
      <c r="J205" s="1">
        <v>0.19596541786743515</v>
      </c>
      <c r="K205" s="1">
        <v>0.2953890489913545</v>
      </c>
      <c r="L205" s="1">
        <v>0.0</v>
      </c>
      <c r="M205" s="1">
        <v>0.0</v>
      </c>
      <c r="N205" s="1">
        <v>0.9999999403953552</v>
      </c>
      <c r="O205" s="1">
        <v>0.9999999403953552</v>
      </c>
    </row>
    <row r="206" ht="15.75" customHeight="1">
      <c r="A206" s="1" t="s">
        <v>60</v>
      </c>
      <c r="B206" s="1" t="s">
        <v>16</v>
      </c>
      <c r="C206" s="1" t="s">
        <v>26</v>
      </c>
      <c r="D206" s="1">
        <v>0.06160319533580257</v>
      </c>
      <c r="E206" s="1">
        <v>0.7481473684310913</v>
      </c>
      <c r="F206" s="1">
        <v>0.721924901008606</v>
      </c>
      <c r="G206" s="1">
        <v>0.7348023056983948</v>
      </c>
      <c r="H206" s="1">
        <v>0.4790764790764791</v>
      </c>
      <c r="I206" s="1">
        <v>0.14017341040462428</v>
      </c>
      <c r="J206" s="1">
        <v>0.21356421356421354</v>
      </c>
      <c r="K206" s="1">
        <v>0.2698412698412698</v>
      </c>
      <c r="L206" s="1">
        <v>0.0</v>
      </c>
      <c r="M206" s="1">
        <v>0.0</v>
      </c>
      <c r="N206" s="1">
        <v>0.9999999403953552</v>
      </c>
      <c r="O206" s="1">
        <v>0.9999999403953552</v>
      </c>
    </row>
    <row r="207" ht="15.75" customHeight="1">
      <c r="A207" s="1" t="s">
        <v>60</v>
      </c>
      <c r="B207" s="1" t="s">
        <v>16</v>
      </c>
      <c r="C207" s="1" t="s">
        <v>27</v>
      </c>
      <c r="D207" s="1">
        <v>0.0633194968418332</v>
      </c>
      <c r="E207" s="1">
        <v>0.7510455846786499</v>
      </c>
      <c r="F207" s="1">
        <v>0.7221406698226929</v>
      </c>
      <c r="G207" s="1">
        <v>0.7363095283508301</v>
      </c>
      <c r="H207" s="1">
        <v>0.4844540853217643</v>
      </c>
      <c r="I207" s="1">
        <v>0.14916727009413466</v>
      </c>
      <c r="J207" s="1">
        <v>0.21258134490238614</v>
      </c>
      <c r="K207" s="1">
        <v>0.2689804772234274</v>
      </c>
      <c r="L207" s="1">
        <v>0.0</v>
      </c>
      <c r="M207" s="1">
        <v>0.0</v>
      </c>
      <c r="N207" s="1">
        <v>0.9999999403953552</v>
      </c>
      <c r="O207" s="1">
        <v>0.9999999403953552</v>
      </c>
    </row>
    <row r="208" ht="15.75" customHeight="1">
      <c r="A208" s="1" t="s">
        <v>60</v>
      </c>
      <c r="B208" s="1" t="s">
        <v>16</v>
      </c>
      <c r="C208" s="1" t="s">
        <v>28</v>
      </c>
      <c r="D208" s="1">
        <v>0.059558473516031926</v>
      </c>
      <c r="E208" s="1">
        <v>0.7506985664367676</v>
      </c>
      <c r="F208" s="1">
        <v>0.7224233746528625</v>
      </c>
      <c r="G208" s="1">
        <v>0.7362896800041199</v>
      </c>
      <c r="H208" s="1">
        <v>0.48652694610778435</v>
      </c>
      <c r="I208" s="1">
        <v>0.14842578710644677</v>
      </c>
      <c r="J208" s="1">
        <v>0.21107784431137722</v>
      </c>
      <c r="K208" s="1">
        <v>0.27245508982035926</v>
      </c>
      <c r="L208" s="1">
        <v>0.0</v>
      </c>
      <c r="M208" s="1">
        <v>0.0</v>
      </c>
      <c r="N208" s="1">
        <v>0.9999999403953552</v>
      </c>
      <c r="O208" s="1">
        <v>0.9999999403953552</v>
      </c>
    </row>
    <row r="209" ht="15.75" customHeight="1">
      <c r="A209" s="1" t="s">
        <v>60</v>
      </c>
      <c r="B209" s="1" t="s">
        <v>16</v>
      </c>
      <c r="C209" s="1" t="s">
        <v>29</v>
      </c>
      <c r="D209" s="1">
        <v>0.07038219150338709</v>
      </c>
      <c r="E209" s="1">
        <v>0.7487555146217346</v>
      </c>
      <c r="F209" s="1">
        <v>0.7238390445709229</v>
      </c>
      <c r="G209" s="1">
        <v>0.7360864877700806</v>
      </c>
      <c r="H209" s="1">
        <v>0.5159972770592239</v>
      </c>
      <c r="I209" s="1">
        <v>0.1622358554873892</v>
      </c>
      <c r="J209" s="1">
        <v>0.20694349897889722</v>
      </c>
      <c r="K209" s="1">
        <v>0.2940776038121171</v>
      </c>
      <c r="L209" s="1">
        <v>0.0</v>
      </c>
      <c r="M209" s="1">
        <v>0.0</v>
      </c>
      <c r="N209" s="1">
        <v>0.9999999403953552</v>
      </c>
      <c r="O209" s="1">
        <v>0.9999999403953552</v>
      </c>
    </row>
    <row r="210" ht="15.75" customHeight="1">
      <c r="A210" s="1" t="s">
        <v>60</v>
      </c>
      <c r="B210" s="1" t="s">
        <v>16</v>
      </c>
      <c r="C210" s="1" t="s">
        <v>30</v>
      </c>
      <c r="D210" s="1">
        <v>0.049858210732987546</v>
      </c>
      <c r="E210" s="1">
        <v>0.747841477394104</v>
      </c>
      <c r="F210" s="1">
        <v>0.7211123704910278</v>
      </c>
      <c r="G210" s="1">
        <v>0.7342337369918823</v>
      </c>
      <c r="H210" s="1">
        <v>0.4996191926884996</v>
      </c>
      <c r="I210" s="1">
        <v>0.14492753623188406</v>
      </c>
      <c r="J210" s="1">
        <v>0.194973343488195</v>
      </c>
      <c r="K210" s="1">
        <v>0.27265803503427266</v>
      </c>
      <c r="L210" s="1">
        <v>0.0</v>
      </c>
      <c r="M210" s="1">
        <v>0.0</v>
      </c>
      <c r="N210" s="1">
        <v>0.7693519592285156</v>
      </c>
      <c r="O210" s="1">
        <v>0.7693519592285156</v>
      </c>
    </row>
    <row r="211" ht="15.75" customHeight="1">
      <c r="A211" s="1" t="s">
        <v>60</v>
      </c>
      <c r="B211" s="1" t="s">
        <v>16</v>
      </c>
      <c r="C211" s="1" t="s">
        <v>31</v>
      </c>
      <c r="D211" s="1">
        <v>0.07157389728240596</v>
      </c>
      <c r="E211" s="1">
        <v>0.7561213970184326</v>
      </c>
      <c r="F211" s="1">
        <v>0.7155520915985107</v>
      </c>
      <c r="G211" s="1">
        <v>0.735277533531189</v>
      </c>
      <c r="H211" s="1">
        <v>0.49500384319754037</v>
      </c>
      <c r="I211" s="1">
        <v>0.15858352578906848</v>
      </c>
      <c r="J211" s="1">
        <v>0.21214450422751727</v>
      </c>
      <c r="K211" s="1">
        <v>0.2859338970023059</v>
      </c>
      <c r="L211" s="1">
        <v>0.0</v>
      </c>
      <c r="M211" s="1">
        <v>0.0</v>
      </c>
      <c r="N211" s="1">
        <v>0.9999999403953552</v>
      </c>
      <c r="O211" s="1">
        <v>0.9999999403953552</v>
      </c>
    </row>
    <row r="212" ht="15.75" customHeight="1">
      <c r="A212" s="1" t="s">
        <v>60</v>
      </c>
      <c r="B212" s="1" t="s">
        <v>16</v>
      </c>
      <c r="C212" s="1" t="s">
        <v>32</v>
      </c>
      <c r="D212" s="1">
        <v>0.06888500230051174</v>
      </c>
      <c r="E212" s="1">
        <v>0.7309181094169617</v>
      </c>
      <c r="F212" s="1">
        <v>0.7128132581710815</v>
      </c>
      <c r="G212" s="1">
        <v>0.7217522263526917</v>
      </c>
      <c r="H212" s="1">
        <v>0.5285913528591353</v>
      </c>
      <c r="I212" s="1">
        <v>0.15223463687150837</v>
      </c>
      <c r="J212" s="1">
        <v>0.199442119944212</v>
      </c>
      <c r="K212" s="1">
        <v>0.27475592747559274</v>
      </c>
      <c r="L212" s="1">
        <v>0.0</v>
      </c>
      <c r="M212" s="1">
        <v>0.0</v>
      </c>
      <c r="N212" s="1">
        <v>0.9999999403953552</v>
      </c>
      <c r="O212" s="1">
        <v>0.9999999403953552</v>
      </c>
    </row>
    <row r="213" ht="15.75" customHeight="1">
      <c r="A213" s="1" t="s">
        <v>60</v>
      </c>
      <c r="B213" s="1" t="s">
        <v>16</v>
      </c>
      <c r="C213" s="1" t="s">
        <v>33</v>
      </c>
      <c r="D213" s="1">
        <v>0.066236305038926</v>
      </c>
      <c r="E213" s="1">
        <v>0.7309181094169617</v>
      </c>
      <c r="F213" s="1">
        <v>0.7128132581710815</v>
      </c>
      <c r="G213" s="1">
        <v>0.7217522263526917</v>
      </c>
      <c r="H213" s="1">
        <v>0.5208485735186539</v>
      </c>
      <c r="I213" s="1">
        <v>0.1553113553113553</v>
      </c>
      <c r="J213" s="1">
        <v>0.1960497439648866</v>
      </c>
      <c r="K213" s="1">
        <v>0.26627651792245793</v>
      </c>
      <c r="L213" s="1">
        <v>0.0</v>
      </c>
      <c r="M213" s="1">
        <v>0.0</v>
      </c>
      <c r="N213" s="1">
        <v>0.9999999403953552</v>
      </c>
      <c r="O213" s="1">
        <v>0.9999999403953552</v>
      </c>
    </row>
    <row r="214" ht="15.75" customHeight="1">
      <c r="A214" s="1" t="s">
        <v>60</v>
      </c>
      <c r="B214" s="1" t="s">
        <v>16</v>
      </c>
      <c r="C214" s="1" t="s">
        <v>34</v>
      </c>
      <c r="D214" s="1">
        <v>0.053435262007031914</v>
      </c>
      <c r="E214" s="1">
        <v>0.7333757281303406</v>
      </c>
      <c r="F214" s="1">
        <v>0.7182697057723999</v>
      </c>
      <c r="G214" s="1">
        <v>0.7257441878318787</v>
      </c>
      <c r="H214" s="1">
        <v>0.5172149961744452</v>
      </c>
      <c r="I214" s="1">
        <v>0.15172413793103448</v>
      </c>
      <c r="J214" s="1">
        <v>0.1928079571537873</v>
      </c>
      <c r="K214" s="1">
        <v>0.2662586074980872</v>
      </c>
      <c r="L214" s="1">
        <v>0.0</v>
      </c>
      <c r="M214" s="1">
        <v>0.0</v>
      </c>
      <c r="N214" s="1">
        <v>0.9999999403953552</v>
      </c>
      <c r="O214" s="1">
        <v>0.9999999403953552</v>
      </c>
    </row>
    <row r="215" ht="15.75" customHeight="1">
      <c r="A215" s="1" t="s">
        <v>60</v>
      </c>
      <c r="B215" s="1" t="s">
        <v>16</v>
      </c>
      <c r="C215" s="1" t="s">
        <v>35</v>
      </c>
      <c r="D215" s="1">
        <v>0.034403920173584554</v>
      </c>
      <c r="E215" s="1">
        <v>0.7536808252334595</v>
      </c>
      <c r="F215" s="1">
        <v>0.722561776638031</v>
      </c>
      <c r="G215" s="1">
        <v>0.7377933263778687</v>
      </c>
      <c r="H215" s="1">
        <v>0.45145228215767635</v>
      </c>
      <c r="I215" s="1">
        <v>0.1313383208645054</v>
      </c>
      <c r="J215" s="1">
        <v>0.17925311203319502</v>
      </c>
      <c r="K215" s="1">
        <v>0.25062240663900415</v>
      </c>
      <c r="L215" s="1">
        <v>0.0</v>
      </c>
      <c r="M215" s="1">
        <v>0.0</v>
      </c>
      <c r="N215" s="1">
        <v>0.9999999403953552</v>
      </c>
      <c r="O215" s="1">
        <v>0.9999999403953552</v>
      </c>
    </row>
    <row r="216" ht="15.75" customHeight="1">
      <c r="A216" s="1" t="s">
        <v>60</v>
      </c>
      <c r="B216" s="1" t="s">
        <v>16</v>
      </c>
      <c r="C216" s="1" t="s">
        <v>36</v>
      </c>
      <c r="D216" s="1">
        <v>0.04695004600859964</v>
      </c>
      <c r="E216" s="1">
        <v>0.7452321648597717</v>
      </c>
      <c r="F216" s="1">
        <v>0.725504457950592</v>
      </c>
      <c r="G216" s="1">
        <v>0.7352359890937805</v>
      </c>
      <c r="H216" s="1">
        <v>0.4839467501957713</v>
      </c>
      <c r="I216" s="1">
        <v>0.14901960784313725</v>
      </c>
      <c r="J216" s="1">
        <v>0.1816758026624902</v>
      </c>
      <c r="K216" s="1">
        <v>0.27564604541895066</v>
      </c>
      <c r="L216" s="1">
        <v>0.0</v>
      </c>
      <c r="M216" s="1">
        <v>0.0</v>
      </c>
      <c r="N216" s="1">
        <v>0.9999999403953552</v>
      </c>
      <c r="O216" s="1">
        <v>0.9999999403953552</v>
      </c>
    </row>
    <row r="217" ht="15.75" customHeight="1">
      <c r="A217" s="1" t="s">
        <v>60</v>
      </c>
      <c r="B217" s="1" t="s">
        <v>16</v>
      </c>
      <c r="C217" s="1" t="s">
        <v>37</v>
      </c>
      <c r="D217" s="1">
        <v>0.0532299979379468</v>
      </c>
      <c r="E217" s="1">
        <v>0.7463593482971191</v>
      </c>
      <c r="F217" s="1">
        <v>0.7106330394744873</v>
      </c>
      <c r="G217" s="1">
        <v>0.7280582189559937</v>
      </c>
      <c r="H217" s="1">
        <v>0.47364513734224206</v>
      </c>
      <c r="I217" s="1">
        <v>0.13382899628252787</v>
      </c>
      <c r="J217" s="1">
        <v>0.1900519673348181</v>
      </c>
      <c r="K217" s="1">
        <v>0.27616926503340755</v>
      </c>
      <c r="L217" s="1">
        <v>0.0</v>
      </c>
      <c r="M217" s="1">
        <v>0.0</v>
      </c>
      <c r="N217" s="1">
        <v>0.7693519592285156</v>
      </c>
      <c r="O217" s="1">
        <v>0.7693519592285156</v>
      </c>
    </row>
    <row r="218" ht="15.75" customHeight="1">
      <c r="A218" s="1" t="s">
        <v>60</v>
      </c>
      <c r="B218" s="1" t="s">
        <v>16</v>
      </c>
      <c r="C218" s="1" t="s">
        <v>38</v>
      </c>
      <c r="D218" s="1">
        <v>0.05489401561795902</v>
      </c>
      <c r="E218" s="1">
        <v>0.7342400550842285</v>
      </c>
      <c r="F218" s="1">
        <v>0.7086325883865356</v>
      </c>
      <c r="G218" s="1">
        <v>0.7212090492248535</v>
      </c>
      <c r="H218" s="1">
        <v>0.5094066570188133</v>
      </c>
      <c r="I218" s="1">
        <v>0.15362318840579708</v>
      </c>
      <c r="J218" s="1">
        <v>0.1939218523878437</v>
      </c>
      <c r="K218" s="1">
        <v>0.28075253256150506</v>
      </c>
      <c r="L218" s="1">
        <v>0.0</v>
      </c>
      <c r="M218" s="1">
        <v>0.0</v>
      </c>
      <c r="N218" s="1">
        <v>0.9999999403953552</v>
      </c>
      <c r="O218" s="1">
        <v>0.9999999403953552</v>
      </c>
    </row>
    <row r="219" ht="15.75" customHeight="1">
      <c r="A219" s="1" t="s">
        <v>60</v>
      </c>
      <c r="B219" s="1" t="s">
        <v>16</v>
      </c>
      <c r="C219" s="1" t="s">
        <v>39</v>
      </c>
      <c r="D219" s="1">
        <v>0.038507729376946735</v>
      </c>
      <c r="E219" s="1">
        <v>0.734266996383667</v>
      </c>
      <c r="F219" s="1">
        <v>0.7083609104156494</v>
      </c>
      <c r="G219" s="1">
        <v>0.7210813760757446</v>
      </c>
      <c r="H219" s="1">
        <v>0.4480135249366019</v>
      </c>
      <c r="I219" s="1">
        <v>0.14733276883996613</v>
      </c>
      <c r="J219" s="1">
        <v>0.1893491124260355</v>
      </c>
      <c r="K219" s="1">
        <v>0.23499577345731193</v>
      </c>
      <c r="L219" s="1">
        <v>0.0</v>
      </c>
      <c r="M219" s="1">
        <v>0.0</v>
      </c>
      <c r="N219" s="1">
        <v>0.9999999403953552</v>
      </c>
      <c r="O219" s="1">
        <v>0.9999999403953552</v>
      </c>
    </row>
    <row r="220" ht="15.75" customHeight="1">
      <c r="A220" s="1" t="s">
        <v>60</v>
      </c>
      <c r="B220" s="1" t="s">
        <v>16</v>
      </c>
      <c r="C220" s="1" t="s">
        <v>40</v>
      </c>
      <c r="D220" s="1">
        <v>0.04530186563480768</v>
      </c>
      <c r="E220" s="1">
        <v>0.7287964820861816</v>
      </c>
      <c r="F220" s="1">
        <v>0.7174278497695923</v>
      </c>
      <c r="G220" s="1">
        <v>0.7230675220489502</v>
      </c>
      <c r="H220" s="1">
        <v>0.472243940578577</v>
      </c>
      <c r="I220" s="1">
        <v>0.13469068128425998</v>
      </c>
      <c r="J220" s="1">
        <v>0.17044566067240033</v>
      </c>
      <c r="K220" s="1">
        <v>0.2611415168100078</v>
      </c>
      <c r="L220" s="1">
        <v>0.0</v>
      </c>
      <c r="M220" s="1">
        <v>0.0</v>
      </c>
      <c r="N220" s="1">
        <v>0.9999999403953552</v>
      </c>
      <c r="O220" s="1">
        <v>0.9999999403953552</v>
      </c>
    </row>
    <row r="221" ht="15.75" customHeight="1">
      <c r="A221" s="1" t="s">
        <v>60</v>
      </c>
      <c r="B221" s="1" t="s">
        <v>16</v>
      </c>
      <c r="C221" s="1" t="s">
        <v>41</v>
      </c>
      <c r="D221" s="1">
        <v>0.026255253648872132</v>
      </c>
      <c r="E221" s="1">
        <v>0.7350645065307617</v>
      </c>
      <c r="F221" s="1">
        <v>0.7220664024353027</v>
      </c>
      <c r="G221" s="1">
        <v>0.7285074591636658</v>
      </c>
      <c r="H221" s="1">
        <v>0.398959236773634</v>
      </c>
      <c r="I221" s="1">
        <v>0.0955690703735882</v>
      </c>
      <c r="J221" s="1">
        <v>0.18733738074588033</v>
      </c>
      <c r="K221" s="1">
        <v>0.22549869904596703</v>
      </c>
      <c r="L221" s="1">
        <v>0.7023138999938965</v>
      </c>
      <c r="M221" s="1">
        <v>0.7023138999938965</v>
      </c>
      <c r="N221" s="1">
        <v>0.7023138999938965</v>
      </c>
      <c r="O221" s="1">
        <v>0.7023138999938965</v>
      </c>
    </row>
    <row r="222" ht="15.75" customHeight="1">
      <c r="A222" s="1" t="s">
        <v>60</v>
      </c>
      <c r="B222" s="1" t="s">
        <v>16</v>
      </c>
      <c r="C222" s="1" t="s">
        <v>42</v>
      </c>
      <c r="D222" s="1">
        <v>0.034913084722044824</v>
      </c>
      <c r="E222" s="1">
        <v>0.7370110750198364</v>
      </c>
      <c r="F222" s="1">
        <v>0.710284948348999</v>
      </c>
      <c r="G222" s="1">
        <v>0.7234012484550476</v>
      </c>
      <c r="H222" s="1">
        <v>0.41379310344827586</v>
      </c>
      <c r="I222" s="1">
        <v>0.13142375737152487</v>
      </c>
      <c r="J222" s="1">
        <v>0.18334735071488648</v>
      </c>
      <c r="K222" s="1">
        <v>0.24558452481076534</v>
      </c>
      <c r="L222" s="1">
        <v>0.0</v>
      </c>
      <c r="M222" s="1">
        <v>0.0</v>
      </c>
      <c r="N222" s="1">
        <v>0.7693519592285156</v>
      </c>
      <c r="O222" s="1">
        <v>0.7693519592285156</v>
      </c>
    </row>
    <row r="223" ht="15.75" customHeight="1">
      <c r="A223" s="1" t="s">
        <v>60</v>
      </c>
      <c r="B223" s="1" t="s">
        <v>16</v>
      </c>
      <c r="C223" s="1" t="s">
        <v>43</v>
      </c>
      <c r="D223" s="1">
        <v>0.0316670195303448</v>
      </c>
      <c r="E223" s="1">
        <v>0.7339168787002563</v>
      </c>
      <c r="F223" s="1">
        <v>0.7219101786613464</v>
      </c>
      <c r="G223" s="1">
        <v>0.7278640270233154</v>
      </c>
      <c r="H223" s="1">
        <v>0.4262295081967213</v>
      </c>
      <c r="I223" s="1">
        <v>0.11330049261083745</v>
      </c>
      <c r="J223" s="1">
        <v>0.1672131147540984</v>
      </c>
      <c r="K223" s="1">
        <v>0.2540983606557377</v>
      </c>
      <c r="L223" s="1">
        <v>0.8271334767341614</v>
      </c>
      <c r="M223" s="1">
        <v>0.8271334767341614</v>
      </c>
      <c r="N223" s="1">
        <v>0.8271334767341614</v>
      </c>
      <c r="O223" s="1">
        <v>0.8271334767341614</v>
      </c>
    </row>
    <row r="224" ht="15.75" customHeight="1">
      <c r="A224" s="1" t="s">
        <v>60</v>
      </c>
      <c r="B224" s="1" t="s">
        <v>16</v>
      </c>
      <c r="C224" s="1" t="s">
        <v>44</v>
      </c>
      <c r="D224" s="1">
        <v>0.02723029221850601</v>
      </c>
      <c r="E224" s="1">
        <v>0.7521703243255615</v>
      </c>
      <c r="F224" s="1">
        <v>0.7175021171569824</v>
      </c>
      <c r="G224" s="1">
        <v>0.7344273328781128</v>
      </c>
      <c r="H224" s="1">
        <v>0.3798882681564246</v>
      </c>
      <c r="I224" s="1">
        <v>0.13432835820895522</v>
      </c>
      <c r="J224" s="1">
        <v>0.16945996275605213</v>
      </c>
      <c r="K224" s="1">
        <v>0.22532588454376162</v>
      </c>
      <c r="L224" s="1">
        <v>0.0</v>
      </c>
      <c r="M224" s="1">
        <v>0.0</v>
      </c>
      <c r="N224" s="1">
        <v>0.7693519592285156</v>
      </c>
      <c r="O224" s="1">
        <v>0.7693519592285156</v>
      </c>
    </row>
    <row r="225" ht="15.75" customHeight="1">
      <c r="A225" s="1" t="s">
        <v>60</v>
      </c>
      <c r="B225" s="1" t="s">
        <v>16</v>
      </c>
      <c r="C225" s="1" t="s">
        <v>45</v>
      </c>
      <c r="D225" s="1">
        <v>0.02723029221850601</v>
      </c>
      <c r="E225" s="1">
        <v>0.7521703243255615</v>
      </c>
      <c r="F225" s="1">
        <v>0.7175021171569824</v>
      </c>
      <c r="G225" s="1">
        <v>0.7344273328781128</v>
      </c>
      <c r="H225" s="1">
        <v>0.3798882681564246</v>
      </c>
      <c r="I225" s="1">
        <v>0.13432835820895522</v>
      </c>
      <c r="J225" s="1">
        <v>0.16945996275605213</v>
      </c>
      <c r="K225" s="1">
        <v>0.22532588454376162</v>
      </c>
      <c r="L225" s="1">
        <v>0.0</v>
      </c>
      <c r="M225" s="1">
        <v>0.0</v>
      </c>
      <c r="N225" s="1">
        <v>0.7693519592285156</v>
      </c>
      <c r="O225" s="1">
        <v>0.7693519592285156</v>
      </c>
    </row>
    <row r="226" ht="15.75" customHeight="1">
      <c r="A226" s="1" t="s">
        <v>60</v>
      </c>
      <c r="B226" s="1" t="s">
        <v>16</v>
      </c>
      <c r="C226" s="1" t="s">
        <v>46</v>
      </c>
      <c r="D226" s="1">
        <v>0.02809783875873312</v>
      </c>
      <c r="E226" s="1">
        <v>0.7391908764839172</v>
      </c>
      <c r="F226" s="1">
        <v>0.7132412791252136</v>
      </c>
      <c r="G226" s="1">
        <v>0.7259842753410339</v>
      </c>
      <c r="H226" s="1">
        <v>0.40463458110516937</v>
      </c>
      <c r="I226" s="1">
        <v>0.13392857142857142</v>
      </c>
      <c r="J226" s="1">
        <v>0.18360071301247774</v>
      </c>
      <c r="K226" s="1">
        <v>0.22816399286987524</v>
      </c>
      <c r="L226" s="1">
        <v>0.0</v>
      </c>
      <c r="M226" s="1">
        <v>0.0</v>
      </c>
      <c r="N226" s="1">
        <v>0.7693519592285156</v>
      </c>
      <c r="O226" s="1">
        <v>0.7693519592285156</v>
      </c>
    </row>
    <row r="227" ht="15.75" customHeight="1">
      <c r="A227" s="1" t="s">
        <v>60</v>
      </c>
      <c r="B227" s="1" t="s">
        <v>16</v>
      </c>
      <c r="C227" s="1" t="s">
        <v>47</v>
      </c>
      <c r="D227" s="1">
        <v>0.04075326844263426</v>
      </c>
      <c r="E227" s="1">
        <v>0.7376173734664917</v>
      </c>
      <c r="F227" s="1">
        <v>0.7148326635360718</v>
      </c>
      <c r="G227" s="1">
        <v>0.7260463237762451</v>
      </c>
      <c r="H227" s="1">
        <v>0.446031746031746</v>
      </c>
      <c r="I227" s="1">
        <v>0.10492845786963434</v>
      </c>
      <c r="J227" s="1">
        <v>0.17936507936507937</v>
      </c>
      <c r="K227" s="1">
        <v>0.26825396825396824</v>
      </c>
      <c r="L227" s="1">
        <v>0.0</v>
      </c>
      <c r="M227" s="1">
        <v>0.0</v>
      </c>
      <c r="N227" s="1">
        <v>0.9999999403953552</v>
      </c>
      <c r="O227" s="1">
        <v>0.9999999403953552</v>
      </c>
    </row>
    <row r="228" ht="15.75" customHeight="1">
      <c r="A228" s="1" t="s">
        <v>60</v>
      </c>
      <c r="B228" s="1" t="s">
        <v>16</v>
      </c>
      <c r="C228" s="1" t="s">
        <v>48</v>
      </c>
      <c r="D228" s="1">
        <v>0.05691796562637647</v>
      </c>
      <c r="E228" s="1">
        <v>0.7429253458976746</v>
      </c>
      <c r="F228" s="1">
        <v>0.7201639413833618</v>
      </c>
      <c r="G228" s="1">
        <v>0.7313675880432129</v>
      </c>
      <c r="H228" s="1">
        <v>0.444078947368421</v>
      </c>
      <c r="I228" s="1">
        <v>0.1301482701812191</v>
      </c>
      <c r="J228" s="1">
        <v>0.18421052631578946</v>
      </c>
      <c r="K228" s="1">
        <v>0.2631578947368421</v>
      </c>
      <c r="L228" s="1">
        <v>0.7023138999938965</v>
      </c>
      <c r="M228" s="1">
        <v>0.7023138999938965</v>
      </c>
      <c r="N228" s="1">
        <v>0.7023138999938965</v>
      </c>
      <c r="O228" s="1">
        <v>0.7023138999938965</v>
      </c>
    </row>
    <row r="229" ht="15.75" customHeight="1">
      <c r="A229" s="1" t="s">
        <v>60</v>
      </c>
      <c r="B229" s="1" t="s">
        <v>16</v>
      </c>
      <c r="C229" s="1" t="s">
        <v>49</v>
      </c>
      <c r="D229" s="1">
        <v>0.04204422280549006</v>
      </c>
      <c r="E229" s="1">
        <v>0.7448868751525879</v>
      </c>
      <c r="F229" s="1">
        <v>0.7149165272712708</v>
      </c>
      <c r="G229" s="1">
        <v>0.7295940518379211</v>
      </c>
      <c r="H229" s="1">
        <v>0.42500000000000004</v>
      </c>
      <c r="I229" s="1">
        <v>0.1001669449081803</v>
      </c>
      <c r="J229" s="1">
        <v>0.17500000000000002</v>
      </c>
      <c r="K229" s="1">
        <v>0.22999999999999995</v>
      </c>
      <c r="L229" s="1">
        <v>0.0</v>
      </c>
      <c r="M229" s="1">
        <v>0.0</v>
      </c>
      <c r="N229" s="1">
        <v>0.9999999403953552</v>
      </c>
      <c r="O229" s="1">
        <v>0.9999999403953552</v>
      </c>
    </row>
    <row r="230" ht="15.75" customHeight="1">
      <c r="A230" s="1" t="s">
        <v>60</v>
      </c>
      <c r="B230" s="1" t="s">
        <v>16</v>
      </c>
      <c r="C230" s="1" t="s">
        <v>50</v>
      </c>
      <c r="D230" s="1">
        <v>0.0287270340476645</v>
      </c>
      <c r="E230" s="1">
        <v>0.6616009473800659</v>
      </c>
      <c r="F230" s="1">
        <v>0.6369695067405701</v>
      </c>
      <c r="G230" s="1">
        <v>0.6490516662597656</v>
      </c>
      <c r="H230" s="1">
        <v>0.3865546218487395</v>
      </c>
      <c r="I230" s="1">
        <v>0.1253507951356408</v>
      </c>
      <c r="J230" s="1">
        <v>0.18300653594771243</v>
      </c>
      <c r="K230" s="1">
        <v>0.20728291316526612</v>
      </c>
      <c r="L230" s="1">
        <v>0.0</v>
      </c>
      <c r="M230" s="1">
        <v>0.0</v>
      </c>
      <c r="N230" s="1">
        <v>0.8277580142021179</v>
      </c>
      <c r="O230" s="1">
        <v>0.8277580142021179</v>
      </c>
    </row>
    <row r="231" ht="15.75" customHeight="1">
      <c r="A231" s="1" t="s">
        <v>60</v>
      </c>
      <c r="B231" s="1" t="s">
        <v>16</v>
      </c>
      <c r="C231" s="1" t="s">
        <v>51</v>
      </c>
      <c r="D231" s="1">
        <v>0.0287270340476645</v>
      </c>
      <c r="E231" s="1">
        <v>0.6616009473800659</v>
      </c>
      <c r="F231" s="1">
        <v>0.6369695067405701</v>
      </c>
      <c r="G231" s="1">
        <v>0.6490516662597656</v>
      </c>
      <c r="H231" s="1">
        <v>0.3865546218487395</v>
      </c>
      <c r="I231" s="1">
        <v>0.1253507951356408</v>
      </c>
      <c r="J231" s="1">
        <v>0.18300653594771243</v>
      </c>
      <c r="K231" s="1">
        <v>0.20728291316526612</v>
      </c>
      <c r="L231" s="1">
        <v>0.0</v>
      </c>
      <c r="M231" s="1">
        <v>0.0</v>
      </c>
      <c r="N231" s="1">
        <v>0.8277580142021179</v>
      </c>
      <c r="O231" s="1">
        <v>0.8277580142021179</v>
      </c>
    </row>
    <row r="232" ht="15.75" customHeight="1">
      <c r="A232" s="1" t="s">
        <v>60</v>
      </c>
      <c r="B232" s="1" t="s">
        <v>16</v>
      </c>
      <c r="C232" s="1" t="s">
        <v>52</v>
      </c>
      <c r="D232" s="1">
        <v>0.03338654572049209</v>
      </c>
      <c r="E232" s="1">
        <v>0.7460365295410156</v>
      </c>
      <c r="F232" s="1">
        <v>0.7021343111991882</v>
      </c>
      <c r="G232" s="1">
        <v>0.7234199047088623</v>
      </c>
      <c r="H232" s="1">
        <v>0.41354723707664887</v>
      </c>
      <c r="I232" s="1">
        <v>0.14642857142857144</v>
      </c>
      <c r="J232" s="1">
        <v>0.19073083778966132</v>
      </c>
      <c r="K232" s="1">
        <v>0.2549019607843137</v>
      </c>
      <c r="L232" s="1">
        <v>0.0</v>
      </c>
      <c r="M232" s="1">
        <v>0.0</v>
      </c>
      <c r="N232" s="1">
        <v>0.8277580142021179</v>
      </c>
      <c r="O232" s="1">
        <v>0.8277580142021179</v>
      </c>
    </row>
    <row r="233" ht="15.75" customHeight="1">
      <c r="A233" s="1" t="s">
        <v>60</v>
      </c>
      <c r="B233" s="1" t="s">
        <v>16</v>
      </c>
      <c r="C233" s="1" t="s">
        <v>53</v>
      </c>
      <c r="D233" s="1">
        <v>0.06159405278311326</v>
      </c>
      <c r="E233" s="1">
        <v>0.7569851279258728</v>
      </c>
      <c r="F233" s="1">
        <v>0.735637903213501</v>
      </c>
      <c r="G233" s="1">
        <v>0.7461588382720947</v>
      </c>
      <c r="H233" s="1">
        <v>0.5266362252663623</v>
      </c>
      <c r="I233" s="1">
        <v>0.19207317073170732</v>
      </c>
      <c r="J233" s="1">
        <v>0.1933028919330289</v>
      </c>
      <c r="K233" s="1">
        <v>0.2785388127853881</v>
      </c>
      <c r="L233" s="1">
        <v>0.0</v>
      </c>
      <c r="M233" s="1">
        <v>0.0</v>
      </c>
      <c r="N233" s="1">
        <v>0.9999999403953552</v>
      </c>
      <c r="O233" s="1">
        <v>0.9999999403953552</v>
      </c>
    </row>
    <row r="234" ht="15.75" customHeight="1">
      <c r="A234" s="1" t="s">
        <v>60</v>
      </c>
      <c r="B234" s="1" t="s">
        <v>16</v>
      </c>
      <c r="C234" s="1" t="s">
        <v>54</v>
      </c>
      <c r="D234" s="1">
        <v>0.07140954331261277</v>
      </c>
      <c r="E234" s="1">
        <v>0.7513466477394104</v>
      </c>
      <c r="F234" s="1">
        <v>0.7315009832382202</v>
      </c>
      <c r="G234" s="1">
        <v>0.7412909865379333</v>
      </c>
      <c r="H234" s="1">
        <v>0.5465587044534412</v>
      </c>
      <c r="I234" s="1">
        <v>0.16216216216216214</v>
      </c>
      <c r="J234" s="1">
        <v>0.19433198380566802</v>
      </c>
      <c r="K234" s="1">
        <v>0.27125506072874495</v>
      </c>
      <c r="L234" s="1">
        <v>0.0</v>
      </c>
      <c r="M234" s="1">
        <v>0.0</v>
      </c>
      <c r="N234" s="1">
        <v>0.9999999403953552</v>
      </c>
      <c r="O234" s="1">
        <v>0.9999999403953552</v>
      </c>
    </row>
    <row r="235" ht="15.75" customHeight="1">
      <c r="A235" s="1" t="s">
        <v>60</v>
      </c>
      <c r="B235" s="1" t="s">
        <v>16</v>
      </c>
      <c r="C235" s="1" t="s">
        <v>55</v>
      </c>
      <c r="D235" s="1">
        <v>0.0693677572808212</v>
      </c>
      <c r="E235" s="1">
        <v>0.7482932209968567</v>
      </c>
      <c r="F235" s="1">
        <v>0.7243104577064514</v>
      </c>
      <c r="G235" s="1">
        <v>0.7361065149307251</v>
      </c>
      <c r="H235" s="1">
        <v>0.5492451473759885</v>
      </c>
      <c r="I235" s="1">
        <v>0.18718502519798416</v>
      </c>
      <c r="J235" s="1">
        <v>0.19841840402588068</v>
      </c>
      <c r="K235" s="1">
        <v>0.30050323508267435</v>
      </c>
      <c r="L235" s="1">
        <v>0.0</v>
      </c>
      <c r="M235" s="1">
        <v>0.0</v>
      </c>
      <c r="N235" s="1">
        <v>0.9999999403953552</v>
      </c>
      <c r="O235" s="1">
        <v>0.9999999403953552</v>
      </c>
    </row>
    <row r="236" ht="15.75" customHeight="1"/>
    <row r="237" ht="15.75" customHeight="1">
      <c r="C237" s="2"/>
    </row>
    <row r="238" ht="15.75" customHeight="1"/>
    <row r="239" ht="15.75" customHeight="1"/>
    <row r="240" ht="15.75" customHeight="1"/>
    <row r="241" ht="15.75" customHeight="1">
      <c r="B241" s="3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scale="17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3.43"/>
    <col customWidth="1" min="5" max="5" width="21.86"/>
    <col customWidth="1" min="6" max="6" width="18.86"/>
    <col customWidth="1" min="7" max="7" width="15.57"/>
    <col customWidth="1" min="8" max="10" width="12.0"/>
    <col customWidth="1" min="11" max="11" width="13.0"/>
    <col customWidth="1" min="12" max="12" width="18.0"/>
    <col customWidth="1" min="13" max="13" width="21.71"/>
    <col customWidth="1" min="14" max="14" width="13.57"/>
    <col customWidth="1" min="15" max="15" width="17.29"/>
    <col customWidth="1" min="16" max="6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>
        <v>0.09074548452340513</v>
      </c>
      <c r="E2" s="1">
        <v>0.7501270771026611</v>
      </c>
      <c r="F2" s="1">
        <v>0.751420259475708</v>
      </c>
      <c r="G2" s="1">
        <v>0.7507731318473816</v>
      </c>
      <c r="H2" s="1">
        <v>0.5307730182176267</v>
      </c>
      <c r="I2" s="1">
        <v>0.1784130113356333</v>
      </c>
      <c r="J2" s="1">
        <v>0.190054160512063</v>
      </c>
      <c r="K2" s="1">
        <v>0.28163466272772036</v>
      </c>
      <c r="L2" s="1">
        <v>0.0</v>
      </c>
      <c r="M2" s="1">
        <v>0.0</v>
      </c>
      <c r="N2" s="1">
        <v>0.9999999403953552</v>
      </c>
      <c r="O2" s="1">
        <v>0.8271334767341614</v>
      </c>
    </row>
    <row r="3">
      <c r="A3" s="1" t="s">
        <v>15</v>
      </c>
      <c r="B3" s="1" t="s">
        <v>16</v>
      </c>
      <c r="C3" s="1" t="s">
        <v>18</v>
      </c>
      <c r="D3" s="1">
        <v>0.09438579173566645</v>
      </c>
      <c r="E3" s="1">
        <v>0.7499855756759644</v>
      </c>
      <c r="F3" s="1">
        <v>0.7521843314170837</v>
      </c>
      <c r="G3" s="1">
        <v>0.7510833740234375</v>
      </c>
      <c r="H3" s="1">
        <v>0.5307125307125307</v>
      </c>
      <c r="I3" s="1">
        <v>0.17314313821938024</v>
      </c>
      <c r="J3" s="1">
        <v>0.19262899262899263</v>
      </c>
      <c r="K3" s="1">
        <v>0.28206388206388205</v>
      </c>
      <c r="L3" s="1">
        <v>0.0</v>
      </c>
      <c r="M3" s="1">
        <v>0.0</v>
      </c>
      <c r="N3" s="1">
        <v>0.9999999403953552</v>
      </c>
      <c r="O3" s="1">
        <v>0.8271334767341614</v>
      </c>
    </row>
    <row r="4">
      <c r="A4" s="1" t="s">
        <v>15</v>
      </c>
      <c r="B4" s="1" t="s">
        <v>16</v>
      </c>
      <c r="C4" s="1" t="s">
        <v>19</v>
      </c>
      <c r="D4" s="1">
        <v>0.08873859516496355</v>
      </c>
      <c r="E4" s="1">
        <v>0.75095534324646</v>
      </c>
      <c r="F4" s="1">
        <v>0.7501893043518066</v>
      </c>
      <c r="G4" s="1">
        <v>0.750572144985199</v>
      </c>
      <c r="H4" s="1">
        <v>0.5310059715204409</v>
      </c>
      <c r="I4" s="1">
        <v>0.16919540229885058</v>
      </c>
      <c r="J4" s="1">
        <v>0.1938447404685347</v>
      </c>
      <c r="K4" s="1">
        <v>0.28479559026182816</v>
      </c>
      <c r="L4" s="1">
        <v>0.0</v>
      </c>
      <c r="M4" s="1">
        <v>0.0</v>
      </c>
      <c r="N4" s="1">
        <v>0.9999999403953552</v>
      </c>
      <c r="O4" s="1">
        <v>0.8271334767341614</v>
      </c>
    </row>
    <row r="5">
      <c r="A5" s="1" t="s">
        <v>15</v>
      </c>
      <c r="B5" s="1" t="s">
        <v>16</v>
      </c>
      <c r="C5" s="1" t="s">
        <v>20</v>
      </c>
      <c r="D5" s="1">
        <v>0.07025799622039959</v>
      </c>
      <c r="E5" s="1">
        <v>0.739550769329071</v>
      </c>
      <c r="F5" s="1">
        <v>0.738888680934906</v>
      </c>
      <c r="G5" s="1">
        <v>0.7392195463180542</v>
      </c>
      <c r="H5" s="1">
        <v>0.5101796407185629</v>
      </c>
      <c r="I5" s="1">
        <v>0.16906474820143885</v>
      </c>
      <c r="J5" s="1">
        <v>0.18562874251497008</v>
      </c>
      <c r="K5" s="1">
        <v>0.28263473053892213</v>
      </c>
      <c r="L5" s="1">
        <v>0.0</v>
      </c>
      <c r="M5" s="1">
        <v>0.0</v>
      </c>
      <c r="N5" s="1">
        <v>0.9999999403953552</v>
      </c>
      <c r="O5" s="1">
        <v>0.8271334767341614</v>
      </c>
    </row>
    <row r="6">
      <c r="A6" s="1" t="s">
        <v>15</v>
      </c>
      <c r="B6" s="1" t="s">
        <v>16</v>
      </c>
      <c r="C6" s="1" t="s">
        <v>21</v>
      </c>
      <c r="D6" s="1">
        <v>0.07154966422492529</v>
      </c>
      <c r="E6" s="1">
        <v>0.7374701499938965</v>
      </c>
      <c r="F6" s="1">
        <v>0.7393552660942078</v>
      </c>
      <c r="G6" s="1">
        <v>0.7384114861488342</v>
      </c>
      <c r="H6" s="1">
        <v>0.5063001145475372</v>
      </c>
      <c r="I6" s="1">
        <v>0.1513761467889908</v>
      </c>
      <c r="J6" s="1">
        <v>0.2027491408934708</v>
      </c>
      <c r="K6" s="1">
        <v>0.27720504009163804</v>
      </c>
      <c r="L6" s="1">
        <v>0.0</v>
      </c>
      <c r="M6" s="1">
        <v>0.0</v>
      </c>
      <c r="N6" s="1">
        <v>0.9999999403953552</v>
      </c>
      <c r="O6" s="1">
        <v>0.8271334767341614</v>
      </c>
    </row>
    <row r="7">
      <c r="A7" s="1" t="s">
        <v>15</v>
      </c>
      <c r="B7" s="1" t="s">
        <v>16</v>
      </c>
      <c r="C7" s="1" t="s">
        <v>22</v>
      </c>
      <c r="D7" s="1">
        <v>0.06018273857884317</v>
      </c>
      <c r="E7" s="1">
        <v>0.7506675720214844</v>
      </c>
      <c r="F7" s="1">
        <v>0.7439956665039062</v>
      </c>
      <c r="G7" s="1">
        <v>0.7473167777061462</v>
      </c>
      <c r="H7" s="1">
        <v>0.485207100591716</v>
      </c>
      <c r="I7" s="1">
        <v>0.13744075829383887</v>
      </c>
      <c r="J7" s="1">
        <v>0.1905325443786982</v>
      </c>
      <c r="K7" s="1">
        <v>0.2923076923076923</v>
      </c>
      <c r="L7" s="1">
        <v>0.0</v>
      </c>
      <c r="M7" s="1">
        <v>0.0</v>
      </c>
      <c r="N7" s="1">
        <v>0.9999999403953552</v>
      </c>
      <c r="O7" s="1">
        <v>0.8271334767341614</v>
      </c>
    </row>
    <row r="8">
      <c r="A8" s="1" t="s">
        <v>15</v>
      </c>
      <c r="B8" s="1" t="s">
        <v>16</v>
      </c>
      <c r="C8" s="1" t="s">
        <v>23</v>
      </c>
      <c r="D8" s="1">
        <v>0.05642314487733754</v>
      </c>
      <c r="E8" s="1">
        <v>0.7438938021659851</v>
      </c>
      <c r="F8" s="1">
        <v>0.736708402633667</v>
      </c>
      <c r="G8" s="1">
        <v>0.7402836680412292</v>
      </c>
      <c r="H8" s="1">
        <v>0.4760705289672544</v>
      </c>
      <c r="I8" s="1">
        <v>0.15762925598991173</v>
      </c>
      <c r="J8" s="1">
        <v>0.1788413098236776</v>
      </c>
      <c r="K8" s="1">
        <v>0.26952141057934503</v>
      </c>
      <c r="L8" s="1">
        <v>0.0</v>
      </c>
      <c r="M8" s="1">
        <v>0.0</v>
      </c>
      <c r="N8" s="1">
        <v>0.9999999403953552</v>
      </c>
      <c r="O8" s="1">
        <v>0.8271334767341614</v>
      </c>
    </row>
    <row r="9">
      <c r="A9" s="1" t="s">
        <v>15</v>
      </c>
      <c r="B9" s="1" t="s">
        <v>16</v>
      </c>
      <c r="C9" s="1" t="s">
        <v>24</v>
      </c>
      <c r="D9" s="1">
        <v>0.055889325576859036</v>
      </c>
      <c r="E9" s="1">
        <v>0.7473039031028748</v>
      </c>
      <c r="F9" s="1">
        <v>0.7374606132507324</v>
      </c>
      <c r="G9" s="1">
        <v>0.7423495650291443</v>
      </c>
      <c r="H9" s="1">
        <v>0.4685714285714286</v>
      </c>
      <c r="I9" s="1">
        <v>0.1551176096630642</v>
      </c>
      <c r="J9" s="1">
        <v>0.17523809523809522</v>
      </c>
      <c r="K9" s="1">
        <v>0.2679365079365079</v>
      </c>
      <c r="L9" s="1">
        <v>0.0</v>
      </c>
      <c r="M9" s="1">
        <v>0.0</v>
      </c>
      <c r="N9" s="1">
        <v>0.9999999403953552</v>
      </c>
      <c r="O9" s="1">
        <v>0.8271334767341614</v>
      </c>
    </row>
    <row r="10">
      <c r="A10" s="1" t="s">
        <v>15</v>
      </c>
      <c r="B10" s="1" t="s">
        <v>16</v>
      </c>
      <c r="C10" s="1" t="s">
        <v>25</v>
      </c>
      <c r="D10" s="1">
        <v>0.055889325576859036</v>
      </c>
      <c r="E10" s="1">
        <v>0.7473039031028748</v>
      </c>
      <c r="F10" s="1">
        <v>0.7374606132507324</v>
      </c>
      <c r="G10" s="1">
        <v>0.7423495650291443</v>
      </c>
      <c r="H10" s="1">
        <v>0.4685714285714286</v>
      </c>
      <c r="I10" s="1">
        <v>0.1551176096630642</v>
      </c>
      <c r="J10" s="1">
        <v>0.17523809523809522</v>
      </c>
      <c r="K10" s="1">
        <v>0.2679365079365079</v>
      </c>
      <c r="L10" s="1">
        <v>0.0</v>
      </c>
      <c r="M10" s="1">
        <v>0.0</v>
      </c>
      <c r="N10" s="1">
        <v>0.9999999403953552</v>
      </c>
      <c r="O10" s="1">
        <v>0.8271334767341614</v>
      </c>
    </row>
    <row r="11">
      <c r="A11" s="1" t="s">
        <v>15</v>
      </c>
      <c r="B11" s="1" t="s">
        <v>16</v>
      </c>
      <c r="C11" s="1" t="s">
        <v>26</v>
      </c>
      <c r="D11" s="1">
        <v>0.05715371883589902</v>
      </c>
      <c r="E11" s="1">
        <v>0.758051335811615</v>
      </c>
      <c r="F11" s="1">
        <v>0.751952052116394</v>
      </c>
      <c r="G11" s="1">
        <v>0.7549893856048584</v>
      </c>
      <c r="H11" s="1">
        <v>0.4818817546090273</v>
      </c>
      <c r="I11" s="1">
        <v>0.15404201145767027</v>
      </c>
      <c r="J11" s="1">
        <v>0.20470438652256834</v>
      </c>
      <c r="K11" s="1">
        <v>0.2619198982835346</v>
      </c>
      <c r="L11" s="1">
        <v>0.0</v>
      </c>
      <c r="M11" s="1">
        <v>0.0</v>
      </c>
      <c r="N11" s="1">
        <v>0.9999999403953552</v>
      </c>
      <c r="O11" s="1">
        <v>0.8271334767341614</v>
      </c>
    </row>
    <row r="12">
      <c r="A12" s="1" t="s">
        <v>15</v>
      </c>
      <c r="B12" s="1" t="s">
        <v>16</v>
      </c>
      <c r="C12" s="1" t="s">
        <v>27</v>
      </c>
      <c r="D12" s="1">
        <v>0.051347904121211374</v>
      </c>
      <c r="E12" s="1">
        <v>0.7596192359924316</v>
      </c>
      <c r="F12" s="1">
        <v>0.7499404549598694</v>
      </c>
      <c r="G12" s="1">
        <v>0.7547488212585449</v>
      </c>
      <c r="H12" s="1">
        <v>0.49044585987261147</v>
      </c>
      <c r="I12" s="1">
        <v>0.1607142857142857</v>
      </c>
      <c r="J12" s="1">
        <v>0.2038216560509554</v>
      </c>
      <c r="K12" s="1">
        <v>0.26114649681528657</v>
      </c>
      <c r="L12" s="1">
        <v>0.0</v>
      </c>
      <c r="M12" s="1">
        <v>0.0</v>
      </c>
      <c r="N12" s="1">
        <v>0.9999999403953552</v>
      </c>
      <c r="O12" s="1">
        <v>0.8271334767341614</v>
      </c>
    </row>
    <row r="13">
      <c r="A13" s="1" t="s">
        <v>15</v>
      </c>
      <c r="B13" s="1" t="s">
        <v>16</v>
      </c>
      <c r="C13" s="1" t="s">
        <v>28</v>
      </c>
      <c r="D13" s="1">
        <v>0.04729478509575231</v>
      </c>
      <c r="E13" s="1">
        <v>0.758371889591217</v>
      </c>
      <c r="F13" s="1">
        <v>0.749900221824646</v>
      </c>
      <c r="G13" s="1">
        <v>0.7541122436523438</v>
      </c>
      <c r="H13" s="1">
        <v>0.48063033486539725</v>
      </c>
      <c r="I13" s="1">
        <v>0.16305062458908615</v>
      </c>
      <c r="J13" s="1">
        <v>0.19829284307288247</v>
      </c>
      <c r="K13" s="1">
        <v>0.26526592252133946</v>
      </c>
      <c r="L13" s="1">
        <v>0.0</v>
      </c>
      <c r="M13" s="1">
        <v>0.0</v>
      </c>
      <c r="N13" s="1">
        <v>0.9999999403953552</v>
      </c>
      <c r="O13" s="1">
        <v>0.8271334767341614</v>
      </c>
    </row>
    <row r="14">
      <c r="A14" s="1" t="s">
        <v>15</v>
      </c>
      <c r="B14" s="1" t="s">
        <v>16</v>
      </c>
      <c r="C14" s="1" t="s">
        <v>29</v>
      </c>
      <c r="D14" s="1">
        <v>0.06646623444698056</v>
      </c>
      <c r="E14" s="1">
        <v>0.7449965476989746</v>
      </c>
      <c r="F14" s="1">
        <v>0.735444962978363</v>
      </c>
      <c r="G14" s="1">
        <v>0.7401899099349976</v>
      </c>
      <c r="H14" s="1">
        <v>0.4758454106280193</v>
      </c>
      <c r="I14" s="1">
        <v>0.13905683192261187</v>
      </c>
      <c r="J14" s="1">
        <v>0.19323671497584538</v>
      </c>
      <c r="K14" s="1">
        <v>0.2669082125603865</v>
      </c>
      <c r="L14" s="1">
        <v>0.0</v>
      </c>
      <c r="M14" s="1">
        <v>0.0</v>
      </c>
      <c r="N14" s="1">
        <v>0.9999999403953552</v>
      </c>
      <c r="O14" s="1">
        <v>0.8271334767341614</v>
      </c>
    </row>
    <row r="15">
      <c r="A15" s="1" t="s">
        <v>15</v>
      </c>
      <c r="B15" s="1" t="s">
        <v>16</v>
      </c>
      <c r="C15" s="1" t="s">
        <v>30</v>
      </c>
      <c r="D15" s="1">
        <v>0.04299475459800284</v>
      </c>
      <c r="E15" s="1">
        <v>0.7420433759689331</v>
      </c>
      <c r="F15" s="1">
        <v>0.7358570098876953</v>
      </c>
      <c r="G15" s="1">
        <v>0.7389371991157532</v>
      </c>
      <c r="H15" s="1">
        <v>0.44266666666666665</v>
      </c>
      <c r="I15" s="1">
        <v>0.13217623497997327</v>
      </c>
      <c r="J15" s="1">
        <v>0.17733333333333332</v>
      </c>
      <c r="K15" s="1">
        <v>0.25199999999999995</v>
      </c>
      <c r="L15" s="1">
        <v>0.0</v>
      </c>
      <c r="M15" s="1">
        <v>0.0</v>
      </c>
      <c r="N15" s="1">
        <v>0.7693519592285156</v>
      </c>
      <c r="O15" s="1">
        <v>0.8153265714645386</v>
      </c>
    </row>
    <row r="16">
      <c r="A16" s="1" t="s">
        <v>15</v>
      </c>
      <c r="B16" s="1" t="s">
        <v>16</v>
      </c>
      <c r="C16" s="1" t="s">
        <v>31</v>
      </c>
      <c r="D16" s="1">
        <v>0.05260459007909754</v>
      </c>
      <c r="E16" s="1">
        <v>0.7479007840156555</v>
      </c>
      <c r="F16" s="1">
        <v>0.7263549566268921</v>
      </c>
      <c r="G16" s="1">
        <v>0.7369704246520996</v>
      </c>
      <c r="H16" s="1">
        <v>0.41397849462365593</v>
      </c>
      <c r="I16" s="1">
        <v>0.11978465679676985</v>
      </c>
      <c r="J16" s="1">
        <v>0.1814516129032258</v>
      </c>
      <c r="K16" s="1">
        <v>0.23521505376344087</v>
      </c>
      <c r="L16" s="1">
        <v>0.0</v>
      </c>
      <c r="M16" s="1">
        <v>0.0</v>
      </c>
      <c r="N16" s="1">
        <v>0.9999999403953552</v>
      </c>
      <c r="O16" s="1">
        <v>0.8271334767341614</v>
      </c>
    </row>
    <row r="17">
      <c r="A17" s="1" t="s">
        <v>15</v>
      </c>
      <c r="B17" s="1" t="s">
        <v>16</v>
      </c>
      <c r="C17" s="1" t="s">
        <v>32</v>
      </c>
      <c r="D17" s="1">
        <v>0.06213828964392003</v>
      </c>
      <c r="E17" s="1">
        <v>0.7388505339622498</v>
      </c>
      <c r="F17" s="1">
        <v>0.732083797454834</v>
      </c>
      <c r="G17" s="1">
        <v>0.7354515790939331</v>
      </c>
      <c r="H17" s="1">
        <v>0.486119679210364</v>
      </c>
      <c r="I17" s="1">
        <v>0.13094502779493514</v>
      </c>
      <c r="J17" s="1">
        <v>0.19370758790869833</v>
      </c>
      <c r="K17" s="1">
        <v>0.23935842072794572</v>
      </c>
      <c r="L17" s="1">
        <v>0.0</v>
      </c>
      <c r="M17" s="1">
        <v>0.0</v>
      </c>
      <c r="N17" s="1">
        <v>0.9999999403953552</v>
      </c>
      <c r="O17" s="1">
        <v>0.8271334767341614</v>
      </c>
    </row>
    <row r="18">
      <c r="A18" s="1" t="s">
        <v>15</v>
      </c>
      <c r="B18" s="1" t="s">
        <v>16</v>
      </c>
      <c r="C18" s="1" t="s">
        <v>33</v>
      </c>
      <c r="D18" s="1">
        <v>0.055553639005570345</v>
      </c>
      <c r="E18" s="1">
        <v>0.7388505339622498</v>
      </c>
      <c r="F18" s="1">
        <v>0.732083797454834</v>
      </c>
      <c r="G18" s="1">
        <v>0.7354515790939331</v>
      </c>
      <c r="H18" s="1">
        <v>0.4736164736164736</v>
      </c>
      <c r="I18" s="1">
        <v>0.1327319587628866</v>
      </c>
      <c r="J18" s="1">
        <v>0.18532818532818532</v>
      </c>
      <c r="K18" s="1">
        <v>0.23294723294723294</v>
      </c>
      <c r="L18" s="1">
        <v>0.0</v>
      </c>
      <c r="M18" s="1">
        <v>0.0</v>
      </c>
      <c r="N18" s="1">
        <v>0.9999999403953552</v>
      </c>
      <c r="O18" s="1">
        <v>0.8271334767341614</v>
      </c>
    </row>
    <row r="19">
      <c r="A19" s="1" t="s">
        <v>15</v>
      </c>
      <c r="B19" s="1" t="s">
        <v>16</v>
      </c>
      <c r="C19" s="1" t="s">
        <v>34</v>
      </c>
      <c r="D19" s="1">
        <v>0.0453730884160707</v>
      </c>
      <c r="E19" s="1">
        <v>0.7425742149353027</v>
      </c>
      <c r="F19" s="1">
        <v>0.7351837158203125</v>
      </c>
      <c r="G19" s="1">
        <v>0.7388604879379272</v>
      </c>
      <c r="H19" s="1">
        <v>0.464524765729585</v>
      </c>
      <c r="I19" s="1">
        <v>0.13538873994638068</v>
      </c>
      <c r="J19" s="1">
        <v>0.1834002677376171</v>
      </c>
      <c r="K19" s="1">
        <v>0.2463186077643909</v>
      </c>
      <c r="L19" s="1">
        <v>0.0</v>
      </c>
      <c r="M19" s="1">
        <v>0.0</v>
      </c>
      <c r="N19" s="1">
        <v>0.9999999403953552</v>
      </c>
      <c r="O19" s="1">
        <v>0.8271334767341614</v>
      </c>
    </row>
    <row r="20">
      <c r="A20" s="1" t="s">
        <v>15</v>
      </c>
      <c r="B20" s="1" t="s">
        <v>16</v>
      </c>
      <c r="C20" s="1" t="s">
        <v>35</v>
      </c>
      <c r="D20" s="1">
        <v>0.029430397239446494</v>
      </c>
      <c r="E20" s="1">
        <v>0.7484778165817261</v>
      </c>
      <c r="F20" s="1">
        <v>0.7370939254760742</v>
      </c>
      <c r="G20" s="1">
        <v>0.7427422404289246</v>
      </c>
      <c r="H20" s="1">
        <v>0.3836206896551725</v>
      </c>
      <c r="I20" s="1">
        <v>0.12805755395683452</v>
      </c>
      <c r="J20" s="1">
        <v>0.16954022988505746</v>
      </c>
      <c r="K20" s="1">
        <v>0.2385057471264368</v>
      </c>
      <c r="L20" s="1">
        <v>0.0</v>
      </c>
      <c r="M20" s="1">
        <v>0.0</v>
      </c>
      <c r="N20" s="1">
        <v>0.9999999403953552</v>
      </c>
      <c r="O20" s="1">
        <v>0.8271334767341614</v>
      </c>
    </row>
    <row r="21" ht="15.75" customHeight="1">
      <c r="A21" s="1" t="s">
        <v>15</v>
      </c>
      <c r="B21" s="1" t="s">
        <v>16</v>
      </c>
      <c r="C21" s="1" t="s">
        <v>36</v>
      </c>
      <c r="D21" s="1">
        <v>0.04336172866521093</v>
      </c>
      <c r="E21" s="1">
        <v>0.7446160316467285</v>
      </c>
      <c r="F21" s="1">
        <v>0.7370531558990479</v>
      </c>
      <c r="G21" s="1">
        <v>0.740815281867981</v>
      </c>
      <c r="H21" s="1">
        <v>0.40437158469945356</v>
      </c>
      <c r="I21" s="1">
        <v>0.12585499316005472</v>
      </c>
      <c r="J21" s="1">
        <v>0.18032786885245902</v>
      </c>
      <c r="K21" s="1">
        <v>0.25136612021857924</v>
      </c>
      <c r="L21" s="1">
        <v>0.0</v>
      </c>
      <c r="M21" s="1">
        <v>0.0</v>
      </c>
      <c r="N21" s="1">
        <v>0.9999999403953552</v>
      </c>
      <c r="O21" s="1">
        <v>0.8271334767341614</v>
      </c>
    </row>
    <row r="22" ht="15.75" customHeight="1">
      <c r="A22" s="1" t="s">
        <v>15</v>
      </c>
      <c r="B22" s="1" t="s">
        <v>16</v>
      </c>
      <c r="C22" s="1" t="s">
        <v>37</v>
      </c>
      <c r="D22" s="1">
        <v>0.07048777766297373</v>
      </c>
      <c r="E22" s="1">
        <v>0.7639557123184204</v>
      </c>
      <c r="F22" s="1">
        <v>0.743821918964386</v>
      </c>
      <c r="G22" s="1">
        <v>0.7537543773651123</v>
      </c>
      <c r="H22" s="1">
        <v>0.4471968709256845</v>
      </c>
      <c r="I22" s="1">
        <v>0.14360313315926893</v>
      </c>
      <c r="J22" s="1">
        <v>0.1864406779661017</v>
      </c>
      <c r="K22" s="1">
        <v>0.2503259452411995</v>
      </c>
      <c r="L22" s="1">
        <v>0.0</v>
      </c>
      <c r="M22" s="1">
        <v>0.0</v>
      </c>
      <c r="N22" s="1">
        <v>0.7693519592285156</v>
      </c>
      <c r="O22" s="1">
        <v>0.8153265714645386</v>
      </c>
    </row>
    <row r="23" ht="15.75" customHeight="1">
      <c r="A23" s="1" t="s">
        <v>15</v>
      </c>
      <c r="B23" s="1" t="s">
        <v>16</v>
      </c>
      <c r="C23" s="1" t="s">
        <v>38</v>
      </c>
      <c r="D23" s="1">
        <v>0.05413406390974244</v>
      </c>
      <c r="E23" s="1">
        <v>0.7446399927139282</v>
      </c>
      <c r="F23" s="1">
        <v>0.7318429946899414</v>
      </c>
      <c r="G23" s="1">
        <v>0.7381860017776489</v>
      </c>
      <c r="H23" s="1">
        <v>0.4665391969407266</v>
      </c>
      <c r="I23" s="1">
        <v>0.13401403956604976</v>
      </c>
      <c r="J23" s="1">
        <v>0.1988527724665392</v>
      </c>
      <c r="K23" s="1">
        <v>0.2676864244741874</v>
      </c>
      <c r="L23" s="1">
        <v>0.0</v>
      </c>
      <c r="M23" s="1">
        <v>0.0</v>
      </c>
      <c r="N23" s="1">
        <v>0.9999999403953552</v>
      </c>
      <c r="O23" s="1">
        <v>0.8271334767341614</v>
      </c>
    </row>
    <row r="24" ht="15.75" customHeight="1">
      <c r="A24" s="1" t="s">
        <v>15</v>
      </c>
      <c r="B24" s="1" t="s">
        <v>16</v>
      </c>
      <c r="C24" s="1" t="s">
        <v>39</v>
      </c>
      <c r="D24" s="1">
        <v>0.022057001591843168</v>
      </c>
      <c r="E24" s="1">
        <v>0.7444972991943359</v>
      </c>
      <c r="F24" s="1">
        <v>0.7319907546043396</v>
      </c>
      <c r="G24" s="1">
        <v>0.7381910681724548</v>
      </c>
      <c r="H24" s="1">
        <v>0.38978102189781016</v>
      </c>
      <c r="I24" s="1">
        <v>0.11403508771929824</v>
      </c>
      <c r="J24" s="1">
        <v>0.1635036496350365</v>
      </c>
      <c r="K24" s="1">
        <v>0.22627737226277372</v>
      </c>
      <c r="L24" s="1">
        <v>0.0</v>
      </c>
      <c r="M24" s="1">
        <v>0.0</v>
      </c>
      <c r="N24" s="1">
        <v>0.9999999403953552</v>
      </c>
      <c r="O24" s="1">
        <v>0.8271334767341614</v>
      </c>
    </row>
    <row r="25" ht="15.75" customHeight="1">
      <c r="A25" s="1" t="s">
        <v>15</v>
      </c>
      <c r="B25" s="1" t="s">
        <v>16</v>
      </c>
      <c r="C25" s="1" t="s">
        <v>40</v>
      </c>
      <c r="D25" s="1">
        <v>0.03521314839243525</v>
      </c>
      <c r="E25" s="1">
        <v>0.7315559387207031</v>
      </c>
      <c r="F25" s="1">
        <v>0.7421348094940186</v>
      </c>
      <c r="G25" s="1">
        <v>0.7368074059486389</v>
      </c>
      <c r="H25" s="1">
        <v>0.42564802182810374</v>
      </c>
      <c r="I25" s="1">
        <v>0.12704918032786885</v>
      </c>
      <c r="J25" s="1">
        <v>0.17462482946793997</v>
      </c>
      <c r="K25" s="1">
        <v>0.24693042291950887</v>
      </c>
      <c r="L25" s="1">
        <v>0.0</v>
      </c>
      <c r="M25" s="1">
        <v>0.0</v>
      </c>
      <c r="N25" s="1">
        <v>0.9999999403953552</v>
      </c>
      <c r="O25" s="1">
        <v>0.8271334767341614</v>
      </c>
    </row>
    <row r="26" ht="15.75" customHeight="1">
      <c r="A26" s="1" t="s">
        <v>15</v>
      </c>
      <c r="B26" s="1" t="s">
        <v>16</v>
      </c>
      <c r="C26" s="1" t="s">
        <v>41</v>
      </c>
      <c r="D26" s="1">
        <v>0.01400133874309025</v>
      </c>
      <c r="E26" s="1">
        <v>0.7456180453300476</v>
      </c>
      <c r="F26" s="1">
        <v>0.7373365759849548</v>
      </c>
      <c r="G26" s="1">
        <v>0.7414541244506836</v>
      </c>
      <c r="H26" s="1">
        <v>0.3611940298507463</v>
      </c>
      <c r="I26" s="1">
        <v>0.10164424514200299</v>
      </c>
      <c r="J26" s="1">
        <v>0.16567164179104482</v>
      </c>
      <c r="K26" s="1">
        <v>0.21492537313432836</v>
      </c>
      <c r="L26" s="1">
        <v>0.7023138999938965</v>
      </c>
      <c r="M26" s="1">
        <v>0.6929934024810791</v>
      </c>
      <c r="N26" s="1">
        <v>0.7023138999938965</v>
      </c>
      <c r="O26" s="1">
        <v>0.6929934024810791</v>
      </c>
    </row>
    <row r="27" ht="15.75" customHeight="1">
      <c r="A27" s="1" t="s">
        <v>15</v>
      </c>
      <c r="B27" s="1" t="s">
        <v>16</v>
      </c>
      <c r="C27" s="1" t="s">
        <v>42</v>
      </c>
      <c r="D27" s="1">
        <v>0.02298249085325447</v>
      </c>
      <c r="E27" s="1">
        <v>0.7461888790130615</v>
      </c>
      <c r="F27" s="1">
        <v>0.7313482165336609</v>
      </c>
      <c r="G27" s="1">
        <v>0.7386940121650696</v>
      </c>
      <c r="H27" s="1">
        <v>0.3561046511627907</v>
      </c>
      <c r="I27" s="1">
        <v>0.09752547307132459</v>
      </c>
      <c r="J27" s="1">
        <v>0.16133720930232556</v>
      </c>
      <c r="K27" s="1">
        <v>0.21366279069767444</v>
      </c>
      <c r="L27" s="1">
        <v>0.0</v>
      </c>
      <c r="M27" s="1">
        <v>0.0</v>
      </c>
      <c r="N27" s="1">
        <v>0.7693519592285156</v>
      </c>
      <c r="O27" s="1">
        <v>0.8153265714645386</v>
      </c>
    </row>
    <row r="28" ht="15.75" customHeight="1">
      <c r="A28" s="1" t="s">
        <v>15</v>
      </c>
      <c r="B28" s="1" t="s">
        <v>16</v>
      </c>
      <c r="C28" s="1" t="s">
        <v>43</v>
      </c>
      <c r="D28" s="1">
        <v>0.02169715631552054</v>
      </c>
      <c r="E28" s="1">
        <v>0.7289597988128662</v>
      </c>
      <c r="F28" s="1">
        <v>0.7289950251579285</v>
      </c>
      <c r="G28" s="1">
        <v>0.728977382183075</v>
      </c>
      <c r="H28" s="1">
        <v>0.3567874911158494</v>
      </c>
      <c r="I28" s="1">
        <v>0.09537366548042704</v>
      </c>
      <c r="J28" s="1">
        <v>0.16062544420753375</v>
      </c>
      <c r="K28" s="1">
        <v>0.21321961620469082</v>
      </c>
      <c r="L28" s="1">
        <v>0.8271334767341614</v>
      </c>
      <c r="M28" s="1">
        <v>1.0</v>
      </c>
      <c r="N28" s="1">
        <v>0.8271334767341614</v>
      </c>
      <c r="O28" s="1">
        <v>1.0</v>
      </c>
    </row>
    <row r="29" ht="15.75" customHeight="1">
      <c r="A29" s="1" t="s">
        <v>15</v>
      </c>
      <c r="B29" s="1" t="s">
        <v>16</v>
      </c>
      <c r="C29" s="1" t="s">
        <v>44</v>
      </c>
      <c r="D29" s="1">
        <v>0.011364789157803893</v>
      </c>
      <c r="E29" s="1">
        <v>0.7512167692184448</v>
      </c>
      <c r="F29" s="1">
        <v>0.730513334274292</v>
      </c>
      <c r="G29" s="1">
        <v>0.7407204508781433</v>
      </c>
      <c r="H29" s="1">
        <v>0.31086439333862015</v>
      </c>
      <c r="I29" s="1">
        <v>0.10643367752184274</v>
      </c>
      <c r="J29" s="1">
        <v>0.1379857256145916</v>
      </c>
      <c r="K29" s="1">
        <v>0.19191118160190326</v>
      </c>
      <c r="L29" s="1">
        <v>0.0</v>
      </c>
      <c r="M29" s="1">
        <v>0.0</v>
      </c>
      <c r="N29" s="1">
        <v>0.7693519592285156</v>
      </c>
      <c r="O29" s="1">
        <v>0.8153265714645386</v>
      </c>
    </row>
    <row r="30" ht="15.75" customHeight="1">
      <c r="A30" s="1" t="s">
        <v>15</v>
      </c>
      <c r="B30" s="1" t="s">
        <v>16</v>
      </c>
      <c r="C30" s="1" t="s">
        <v>45</v>
      </c>
      <c r="D30" s="1">
        <v>0.011364789157803893</v>
      </c>
      <c r="E30" s="1">
        <v>0.7512167692184448</v>
      </c>
      <c r="F30" s="1">
        <v>0.730513334274292</v>
      </c>
      <c r="G30" s="1">
        <v>0.7407204508781433</v>
      </c>
      <c r="H30" s="1">
        <v>0.31086439333862015</v>
      </c>
      <c r="I30" s="1">
        <v>0.10643367752184274</v>
      </c>
      <c r="J30" s="1">
        <v>0.1379857256145916</v>
      </c>
      <c r="K30" s="1">
        <v>0.19191118160190326</v>
      </c>
      <c r="L30" s="1">
        <v>0.0</v>
      </c>
      <c r="M30" s="1">
        <v>0.0</v>
      </c>
      <c r="N30" s="1">
        <v>0.7693519592285156</v>
      </c>
      <c r="O30" s="1">
        <v>0.8153265714645386</v>
      </c>
    </row>
    <row r="31" ht="15.75" customHeight="1">
      <c r="A31" s="1" t="s">
        <v>15</v>
      </c>
      <c r="B31" s="1" t="s">
        <v>16</v>
      </c>
      <c r="C31" s="1" t="s">
        <v>46</v>
      </c>
      <c r="D31" s="1">
        <v>0.012332304597867511</v>
      </c>
      <c r="E31" s="1">
        <v>0.7527696490287781</v>
      </c>
      <c r="F31" s="1">
        <v>0.7336876392364502</v>
      </c>
      <c r="G31" s="1">
        <v>0.7431061267852783</v>
      </c>
      <c r="H31" s="1">
        <v>0.32238349885408707</v>
      </c>
      <c r="I31" s="1">
        <v>0.09640397857689366</v>
      </c>
      <c r="J31" s="1">
        <v>0.15278838808250572</v>
      </c>
      <c r="K31" s="1">
        <v>0.1940412528647823</v>
      </c>
      <c r="L31" s="1">
        <v>0.0</v>
      </c>
      <c r="M31" s="1">
        <v>0.0</v>
      </c>
      <c r="N31" s="1">
        <v>0.7693519592285156</v>
      </c>
      <c r="O31" s="1">
        <v>0.8153265714645386</v>
      </c>
    </row>
    <row r="32" ht="15.75" customHeight="1">
      <c r="A32" s="1" t="s">
        <v>15</v>
      </c>
      <c r="B32" s="1" t="s">
        <v>16</v>
      </c>
      <c r="C32" s="1" t="s">
        <v>47</v>
      </c>
      <c r="D32" s="1">
        <v>0.04927634657680021</v>
      </c>
      <c r="E32" s="1">
        <v>0.752001941204071</v>
      </c>
      <c r="F32" s="1">
        <v>0.7410843372344971</v>
      </c>
      <c r="G32" s="1">
        <v>0.7465032339096069</v>
      </c>
      <c r="H32" s="1">
        <v>0.414651002073255</v>
      </c>
      <c r="I32" s="1">
        <v>0.1217993079584775</v>
      </c>
      <c r="J32" s="1">
        <v>0.1741534208707671</v>
      </c>
      <c r="K32" s="1">
        <v>0.2543192812715964</v>
      </c>
      <c r="L32" s="1">
        <v>0.0</v>
      </c>
      <c r="M32" s="1">
        <v>0.0</v>
      </c>
      <c r="N32" s="1">
        <v>0.9999999403953552</v>
      </c>
      <c r="O32" s="1">
        <v>0.8271334767341614</v>
      </c>
    </row>
    <row r="33" ht="15.75" customHeight="1">
      <c r="A33" s="1" t="s">
        <v>15</v>
      </c>
      <c r="B33" s="1" t="s">
        <v>16</v>
      </c>
      <c r="C33" s="1" t="s">
        <v>48</v>
      </c>
      <c r="D33" s="1">
        <v>0.04279760114762449</v>
      </c>
      <c r="E33" s="1">
        <v>0.7547094821929932</v>
      </c>
      <c r="F33" s="1">
        <v>0.7522220611572266</v>
      </c>
      <c r="G33" s="1">
        <v>0.7534637451171875</v>
      </c>
      <c r="H33" s="1">
        <v>0.390591589451176</v>
      </c>
      <c r="I33" s="1">
        <v>0.11848679514632406</v>
      </c>
      <c r="J33" s="1">
        <v>0.16963649322879545</v>
      </c>
      <c r="K33" s="1">
        <v>0.23948681397006416</v>
      </c>
      <c r="L33" s="1">
        <v>0.7023138999938965</v>
      </c>
      <c r="M33" s="1">
        <v>0.6929934024810791</v>
      </c>
      <c r="N33" s="1">
        <v>0.7023138999938965</v>
      </c>
      <c r="O33" s="1">
        <v>0.6929934024810791</v>
      </c>
    </row>
    <row r="34" ht="15.75" customHeight="1">
      <c r="A34" s="1" t="s">
        <v>15</v>
      </c>
      <c r="B34" s="1" t="s">
        <v>16</v>
      </c>
      <c r="C34" s="1" t="s">
        <v>49</v>
      </c>
      <c r="D34" s="1">
        <v>0.034798505049129895</v>
      </c>
      <c r="E34" s="1">
        <v>0.7544933557510376</v>
      </c>
      <c r="F34" s="1">
        <v>0.7467182874679565</v>
      </c>
      <c r="G34" s="1">
        <v>0.7505857348442078</v>
      </c>
      <c r="H34" s="1">
        <v>0.3994232155731795</v>
      </c>
      <c r="I34" s="1">
        <v>0.12851985559566786</v>
      </c>
      <c r="J34" s="1">
        <v>0.16438356164383564</v>
      </c>
      <c r="K34" s="1">
        <v>0.23071377072819033</v>
      </c>
      <c r="L34" s="1">
        <v>0.0</v>
      </c>
      <c r="M34" s="1">
        <v>0.0</v>
      </c>
      <c r="N34" s="1">
        <v>0.9999999403953552</v>
      </c>
      <c r="O34" s="1">
        <v>0.8271334767341614</v>
      </c>
    </row>
    <row r="35" ht="15.75" customHeight="1">
      <c r="A35" s="1" t="s">
        <v>15</v>
      </c>
      <c r="B35" s="1" t="s">
        <v>16</v>
      </c>
      <c r="C35" s="1" t="s">
        <v>50</v>
      </c>
      <c r="D35" s="1">
        <v>0.015387035005944625</v>
      </c>
      <c r="E35" s="1">
        <v>0.6696248054504395</v>
      </c>
      <c r="F35" s="1">
        <v>0.6553096175193787</v>
      </c>
      <c r="G35" s="1">
        <v>0.6623898148536682</v>
      </c>
      <c r="H35" s="1">
        <v>0.3211446740858505</v>
      </c>
      <c r="I35" s="1">
        <v>0.10191082802547771</v>
      </c>
      <c r="J35" s="1">
        <v>0.15739268680445148</v>
      </c>
      <c r="K35" s="1">
        <v>0.1669316375198728</v>
      </c>
      <c r="L35" s="1">
        <v>0.0</v>
      </c>
      <c r="M35" s="1">
        <v>0.0</v>
      </c>
      <c r="N35" s="1">
        <v>0.8277580142021179</v>
      </c>
      <c r="O35" s="1">
        <v>0.8464414477348328</v>
      </c>
    </row>
    <row r="36" ht="15.75" customHeight="1">
      <c r="A36" s="1" t="s">
        <v>15</v>
      </c>
      <c r="B36" s="1" t="s">
        <v>16</v>
      </c>
      <c r="C36" s="1" t="s">
        <v>51</v>
      </c>
      <c r="D36" s="1">
        <v>0.015387035005944625</v>
      </c>
      <c r="E36" s="1">
        <v>0.6696248054504395</v>
      </c>
      <c r="F36" s="1">
        <v>0.6553096175193787</v>
      </c>
      <c r="G36" s="1">
        <v>0.6623898148536682</v>
      </c>
      <c r="H36" s="1">
        <v>0.3211446740858505</v>
      </c>
      <c r="I36" s="1">
        <v>0.10191082802547771</v>
      </c>
      <c r="J36" s="1">
        <v>0.15739268680445148</v>
      </c>
      <c r="K36" s="1">
        <v>0.1669316375198728</v>
      </c>
      <c r="L36" s="1">
        <v>0.0</v>
      </c>
      <c r="M36" s="1">
        <v>0.0</v>
      </c>
      <c r="N36" s="1">
        <v>0.8277580142021179</v>
      </c>
      <c r="O36" s="1">
        <v>0.8464414477348328</v>
      </c>
    </row>
    <row r="37" ht="15.75" customHeight="1">
      <c r="A37" s="1" t="s">
        <v>15</v>
      </c>
      <c r="B37" s="1" t="s">
        <v>16</v>
      </c>
      <c r="C37" s="1" t="s">
        <v>52</v>
      </c>
      <c r="D37" s="1">
        <v>0.02209940734060961</v>
      </c>
      <c r="E37" s="1">
        <v>0.7434166669845581</v>
      </c>
      <c r="F37" s="1">
        <v>0.7239258885383606</v>
      </c>
      <c r="G37" s="1">
        <v>0.7335417866706848</v>
      </c>
      <c r="H37" s="1">
        <v>0.35752482811306335</v>
      </c>
      <c r="I37" s="1">
        <v>0.10711553175210405</v>
      </c>
      <c r="J37" s="1">
        <v>0.16042780748663102</v>
      </c>
      <c r="K37" s="1">
        <v>0.21237585943468298</v>
      </c>
      <c r="L37" s="1">
        <v>0.0</v>
      </c>
      <c r="M37" s="1">
        <v>0.0</v>
      </c>
      <c r="N37" s="1">
        <v>0.8277580142021179</v>
      </c>
      <c r="O37" s="1">
        <v>0.8464414477348328</v>
      </c>
    </row>
    <row r="38" ht="15.75" customHeight="1">
      <c r="A38" s="1" t="s">
        <v>15</v>
      </c>
      <c r="B38" s="1" t="s">
        <v>16</v>
      </c>
      <c r="C38" s="1" t="s">
        <v>53</v>
      </c>
      <c r="D38" s="1">
        <v>0.04692241859547186</v>
      </c>
      <c r="E38" s="1">
        <v>0.7507194876670837</v>
      </c>
      <c r="F38" s="1">
        <v>0.7514522075653076</v>
      </c>
      <c r="G38" s="1">
        <v>0.751085638999939</v>
      </c>
      <c r="H38" s="1">
        <v>0.4836775483011326</v>
      </c>
      <c r="I38" s="1">
        <v>0.15743829219479655</v>
      </c>
      <c r="J38" s="1">
        <v>0.19187208527648233</v>
      </c>
      <c r="K38" s="1">
        <v>0.2638241172551632</v>
      </c>
      <c r="L38" s="1">
        <v>0.0</v>
      </c>
      <c r="M38" s="1">
        <v>0.0</v>
      </c>
      <c r="N38" s="1">
        <v>0.9999999403953552</v>
      </c>
      <c r="O38" s="1">
        <v>0.8271334767341614</v>
      </c>
    </row>
    <row r="39" ht="15.75" customHeight="1">
      <c r="A39" s="1" t="s">
        <v>15</v>
      </c>
      <c r="B39" s="1" t="s">
        <v>16</v>
      </c>
      <c r="C39" s="1" t="s">
        <v>54</v>
      </c>
      <c r="D39" s="1">
        <v>0.07871670134589397</v>
      </c>
      <c r="E39" s="1">
        <v>0.7515832185745239</v>
      </c>
      <c r="F39" s="1">
        <v>0.7525502443313599</v>
      </c>
      <c r="G39" s="1">
        <v>0.752066433429718</v>
      </c>
      <c r="H39" s="1">
        <v>0.5248651887357699</v>
      </c>
      <c r="I39" s="1">
        <v>0.16916616676664667</v>
      </c>
      <c r="J39" s="1">
        <v>0.18454164170161774</v>
      </c>
      <c r="K39" s="1">
        <v>0.2660275614140204</v>
      </c>
      <c r="L39" s="1">
        <v>0.0</v>
      </c>
      <c r="M39" s="1">
        <v>0.0</v>
      </c>
      <c r="N39" s="1">
        <v>0.9999999403953552</v>
      </c>
      <c r="O39" s="1">
        <v>0.8271334767341614</v>
      </c>
    </row>
    <row r="40" ht="15.75" customHeight="1">
      <c r="A40" s="1" t="s">
        <v>15</v>
      </c>
      <c r="B40" s="1" t="s">
        <v>16</v>
      </c>
      <c r="C40" s="1" t="s">
        <v>55</v>
      </c>
      <c r="D40" s="1">
        <v>0.07654756714766117</v>
      </c>
      <c r="E40" s="1">
        <v>0.7549675703048706</v>
      </c>
      <c r="F40" s="1">
        <v>0.747463583946228</v>
      </c>
      <c r="G40" s="1">
        <v>0.7511968612670898</v>
      </c>
      <c r="H40" s="1">
        <v>0.5019011406844106</v>
      </c>
      <c r="I40" s="1">
        <v>0.16243654822335027</v>
      </c>
      <c r="J40" s="1">
        <v>0.19011406844106463</v>
      </c>
      <c r="K40" s="1">
        <v>0.2801013941698352</v>
      </c>
      <c r="L40" s="1">
        <v>0.0</v>
      </c>
      <c r="M40" s="1">
        <v>0.0</v>
      </c>
      <c r="N40" s="1">
        <v>0.9999999403953552</v>
      </c>
      <c r="O40" s="1">
        <v>0.8271334767341614</v>
      </c>
    </row>
    <row r="41" ht="15.75" customHeight="1">
      <c r="A41" s="1" t="s">
        <v>56</v>
      </c>
      <c r="B41" s="1" t="s">
        <v>16</v>
      </c>
      <c r="C41" s="1" t="s">
        <v>17</v>
      </c>
      <c r="D41" s="1">
        <v>0.06207455062398891</v>
      </c>
      <c r="E41" s="1">
        <v>0.7311623096466064</v>
      </c>
      <c r="F41" s="1">
        <v>0.7167307138442993</v>
      </c>
      <c r="G41" s="1">
        <v>0.723874568939209</v>
      </c>
      <c r="H41" s="1">
        <v>0.4803229061553986</v>
      </c>
      <c r="I41" s="1">
        <v>0.14444444444444443</v>
      </c>
      <c r="J41" s="1">
        <v>0.18365287588294651</v>
      </c>
      <c r="K41" s="1">
        <v>0.25529767911200807</v>
      </c>
      <c r="L41" s="1">
        <v>0.0</v>
      </c>
      <c r="M41" s="1">
        <v>0.0</v>
      </c>
      <c r="N41" s="1">
        <v>0.9999999403953552</v>
      </c>
      <c r="O41" s="1">
        <v>0.5545380711555481</v>
      </c>
    </row>
    <row r="42" ht="15.75" customHeight="1">
      <c r="A42" s="1" t="s">
        <v>56</v>
      </c>
      <c r="B42" s="1" t="s">
        <v>16</v>
      </c>
      <c r="C42" s="1" t="s">
        <v>18</v>
      </c>
      <c r="D42" s="1">
        <v>0.06266801524210852</v>
      </c>
      <c r="E42" s="1">
        <v>0.737136721611023</v>
      </c>
      <c r="F42" s="1">
        <v>0.7205666303634644</v>
      </c>
      <c r="G42" s="1">
        <v>0.7287575006484985</v>
      </c>
      <c r="H42" s="1">
        <v>0.47935548841893255</v>
      </c>
      <c r="I42" s="1">
        <v>0.14112903225806453</v>
      </c>
      <c r="J42" s="1">
        <v>0.18429003021148035</v>
      </c>
      <c r="K42" s="1">
        <v>0.24974823766364548</v>
      </c>
      <c r="L42" s="1">
        <v>0.0</v>
      </c>
      <c r="M42" s="1">
        <v>0.0</v>
      </c>
      <c r="N42" s="1">
        <v>0.9999999403953552</v>
      </c>
      <c r="O42" s="1">
        <v>0.5545380711555481</v>
      </c>
    </row>
    <row r="43" ht="15.75" customHeight="1">
      <c r="A43" s="1" t="s">
        <v>56</v>
      </c>
      <c r="B43" s="1" t="s">
        <v>16</v>
      </c>
      <c r="C43" s="1" t="s">
        <v>19</v>
      </c>
      <c r="D43" s="1">
        <v>0.05428635707246909</v>
      </c>
      <c r="E43" s="1">
        <v>0.7312397956848145</v>
      </c>
      <c r="F43" s="1">
        <v>0.713051974773407</v>
      </c>
      <c r="G43" s="1">
        <v>0.72203129529953</v>
      </c>
      <c r="H43" s="1">
        <v>0.4671052631578948</v>
      </c>
      <c r="I43" s="1">
        <v>0.1279397930385701</v>
      </c>
      <c r="J43" s="1">
        <v>0.17481203007518797</v>
      </c>
      <c r="K43" s="1">
        <v>0.2565789473684211</v>
      </c>
      <c r="L43" s="1">
        <v>0.0</v>
      </c>
      <c r="M43" s="1">
        <v>0.0</v>
      </c>
      <c r="N43" s="1">
        <v>0.9999999403953552</v>
      </c>
      <c r="O43" s="1">
        <v>0.5545380711555481</v>
      </c>
    </row>
    <row r="44" ht="15.75" customHeight="1">
      <c r="A44" s="1" t="s">
        <v>56</v>
      </c>
      <c r="B44" s="1" t="s">
        <v>16</v>
      </c>
      <c r="C44" s="1" t="s">
        <v>20</v>
      </c>
      <c r="D44" s="1">
        <v>0.04869662287479269</v>
      </c>
      <c r="E44" s="1">
        <v>0.7141472101211548</v>
      </c>
      <c r="F44" s="1">
        <v>0.6972258687019348</v>
      </c>
      <c r="G44" s="1">
        <v>0.7055850625038147</v>
      </c>
      <c r="H44" s="1">
        <v>0.4552745219000616</v>
      </c>
      <c r="I44" s="1">
        <v>0.12353304508956146</v>
      </c>
      <c r="J44" s="1">
        <v>0.17396668723010486</v>
      </c>
      <c r="K44" s="1">
        <v>0.27760641579272055</v>
      </c>
      <c r="L44" s="1">
        <v>0.0</v>
      </c>
      <c r="M44" s="1">
        <v>0.0</v>
      </c>
      <c r="N44" s="1">
        <v>0.9999999403953552</v>
      </c>
      <c r="O44" s="1">
        <v>0.5545380711555481</v>
      </c>
    </row>
    <row r="45" ht="15.75" customHeight="1">
      <c r="A45" s="1" t="s">
        <v>56</v>
      </c>
      <c r="B45" s="1" t="s">
        <v>16</v>
      </c>
      <c r="C45" s="1" t="s">
        <v>21</v>
      </c>
      <c r="D45" s="1">
        <v>0.05895891767456932</v>
      </c>
      <c r="E45" s="1">
        <v>0.7172750234603882</v>
      </c>
      <c r="F45" s="1">
        <v>0.708884596824646</v>
      </c>
      <c r="G45" s="1">
        <v>0.7130551338195801</v>
      </c>
      <c r="H45" s="1">
        <v>0.4737772539776075</v>
      </c>
      <c r="I45" s="1">
        <v>0.11563421828908556</v>
      </c>
      <c r="J45" s="1">
        <v>0.19210371243370655</v>
      </c>
      <c r="K45" s="1">
        <v>0.27578078962875663</v>
      </c>
      <c r="L45" s="1">
        <v>0.0</v>
      </c>
      <c r="M45" s="1">
        <v>0.0</v>
      </c>
      <c r="N45" s="1">
        <v>0.9999999403953552</v>
      </c>
      <c r="O45" s="1">
        <v>0.5545380711555481</v>
      </c>
    </row>
    <row r="46" ht="15.75" customHeight="1">
      <c r="A46" s="1" t="s">
        <v>56</v>
      </c>
      <c r="B46" s="1" t="s">
        <v>16</v>
      </c>
      <c r="C46" s="1" t="s">
        <v>22</v>
      </c>
      <c r="D46" s="1">
        <v>0.04462786051827514</v>
      </c>
      <c r="E46" s="1">
        <v>0.7275570631027222</v>
      </c>
      <c r="F46" s="1">
        <v>0.7079843878746033</v>
      </c>
      <c r="G46" s="1">
        <v>0.7176373600959778</v>
      </c>
      <c r="H46" s="1">
        <v>0.46191346739792816</v>
      </c>
      <c r="I46" s="1">
        <v>0.10250152532031727</v>
      </c>
      <c r="J46" s="1">
        <v>0.18037781840341255</v>
      </c>
      <c r="K46" s="1">
        <v>0.26447288238878736</v>
      </c>
      <c r="L46" s="1">
        <v>0.0</v>
      </c>
      <c r="M46" s="1">
        <v>0.0</v>
      </c>
      <c r="N46" s="1">
        <v>0.9999999403953552</v>
      </c>
      <c r="O46" s="1">
        <v>0.5545380711555481</v>
      </c>
    </row>
    <row r="47" ht="15.75" customHeight="1">
      <c r="A47" s="1" t="s">
        <v>56</v>
      </c>
      <c r="B47" s="1" t="s">
        <v>16</v>
      </c>
      <c r="C47" s="1" t="s">
        <v>23</v>
      </c>
      <c r="D47" s="1">
        <v>0.034471011491698775</v>
      </c>
      <c r="E47" s="1">
        <v>0.7212876677513123</v>
      </c>
      <c r="F47" s="1">
        <v>0.7010066509246826</v>
      </c>
      <c r="G47" s="1">
        <v>0.71100252866745</v>
      </c>
      <c r="H47" s="1">
        <v>0.4301494476933073</v>
      </c>
      <c r="I47" s="1">
        <v>0.09759271307742355</v>
      </c>
      <c r="J47" s="1">
        <v>0.1728395061728395</v>
      </c>
      <c r="K47" s="1">
        <v>0.26120857699805067</v>
      </c>
      <c r="L47" s="1">
        <v>0.0</v>
      </c>
      <c r="M47" s="1">
        <v>0.0</v>
      </c>
      <c r="N47" s="1">
        <v>0.9999999403953552</v>
      </c>
      <c r="O47" s="1">
        <v>0.5545380711555481</v>
      </c>
    </row>
    <row r="48" ht="15.75" customHeight="1">
      <c r="A48" s="1" t="s">
        <v>56</v>
      </c>
      <c r="B48" s="1" t="s">
        <v>16</v>
      </c>
      <c r="C48" s="1" t="s">
        <v>24</v>
      </c>
      <c r="D48" s="1">
        <v>0.03503918577558686</v>
      </c>
      <c r="E48" s="1">
        <v>0.7242181301116943</v>
      </c>
      <c r="F48" s="1">
        <v>0.7014703750610352</v>
      </c>
      <c r="G48" s="1">
        <v>0.7126627564430237</v>
      </c>
      <c r="H48" s="1">
        <v>0.4246395806028834</v>
      </c>
      <c r="I48" s="1">
        <v>0.09973753280839895</v>
      </c>
      <c r="J48" s="1">
        <v>0.1730013106159895</v>
      </c>
      <c r="K48" s="1">
        <v>0.254259501965924</v>
      </c>
      <c r="L48" s="1">
        <v>0.0</v>
      </c>
      <c r="M48" s="1">
        <v>0.0</v>
      </c>
      <c r="N48" s="1">
        <v>0.9999999403953552</v>
      </c>
      <c r="O48" s="1">
        <v>0.5545380711555481</v>
      </c>
    </row>
    <row r="49" ht="15.75" customHeight="1">
      <c r="A49" s="1" t="s">
        <v>56</v>
      </c>
      <c r="B49" s="1" t="s">
        <v>16</v>
      </c>
      <c r="C49" s="1" t="s">
        <v>25</v>
      </c>
      <c r="D49" s="1">
        <v>0.03503918577558686</v>
      </c>
      <c r="E49" s="1">
        <v>0.7242181301116943</v>
      </c>
      <c r="F49" s="1">
        <v>0.7014703750610352</v>
      </c>
      <c r="G49" s="1">
        <v>0.7126627564430237</v>
      </c>
      <c r="H49" s="1">
        <v>0.4246395806028834</v>
      </c>
      <c r="I49" s="1">
        <v>0.09973753280839895</v>
      </c>
      <c r="J49" s="1">
        <v>0.1730013106159895</v>
      </c>
      <c r="K49" s="1">
        <v>0.254259501965924</v>
      </c>
      <c r="L49" s="1">
        <v>0.0</v>
      </c>
      <c r="M49" s="1">
        <v>0.0</v>
      </c>
      <c r="N49" s="1">
        <v>0.9999999403953552</v>
      </c>
      <c r="O49" s="1">
        <v>0.5545380711555481</v>
      </c>
    </row>
    <row r="50" ht="15.75" customHeight="1">
      <c r="A50" s="1" t="s">
        <v>56</v>
      </c>
      <c r="B50" s="1" t="s">
        <v>16</v>
      </c>
      <c r="C50" s="1" t="s">
        <v>26</v>
      </c>
      <c r="D50" s="1">
        <v>0.045429399813521634</v>
      </c>
      <c r="E50" s="1">
        <v>0.7298762202262878</v>
      </c>
      <c r="F50" s="1">
        <v>0.7077732086181641</v>
      </c>
      <c r="G50" s="1">
        <v>0.7186548113822937</v>
      </c>
      <c r="H50" s="1">
        <v>0.4606299212598425</v>
      </c>
      <c r="I50" s="1">
        <v>0.11038107752956637</v>
      </c>
      <c r="J50" s="1">
        <v>0.1968503937007874</v>
      </c>
      <c r="K50" s="1">
        <v>0.2598425196850394</v>
      </c>
      <c r="L50" s="1">
        <v>0.0</v>
      </c>
      <c r="M50" s="1">
        <v>0.0</v>
      </c>
      <c r="N50" s="1">
        <v>0.9999999403953552</v>
      </c>
      <c r="O50" s="1">
        <v>0.5545380711555481</v>
      </c>
    </row>
    <row r="51" ht="15.75" customHeight="1">
      <c r="A51" s="1" t="s">
        <v>56</v>
      </c>
      <c r="B51" s="1" t="s">
        <v>16</v>
      </c>
      <c r="C51" s="1" t="s">
        <v>27</v>
      </c>
      <c r="D51" s="1">
        <v>0.04546954866788666</v>
      </c>
      <c r="E51" s="1">
        <v>0.7317137122154236</v>
      </c>
      <c r="F51" s="1">
        <v>0.7089313268661499</v>
      </c>
      <c r="G51" s="1">
        <v>0.7201423645019531</v>
      </c>
      <c r="H51" s="1">
        <v>0.462853385930309</v>
      </c>
      <c r="I51" s="1">
        <v>0.11059907834101382</v>
      </c>
      <c r="J51" s="1">
        <v>0.19723865877712032</v>
      </c>
      <c r="K51" s="1">
        <v>0.2590401051939514</v>
      </c>
      <c r="L51" s="1">
        <v>0.0</v>
      </c>
      <c r="M51" s="1">
        <v>0.0</v>
      </c>
      <c r="N51" s="1">
        <v>0.9999999403953552</v>
      </c>
      <c r="O51" s="1">
        <v>0.5545380711555481</v>
      </c>
    </row>
    <row r="52" ht="15.75" customHeight="1">
      <c r="A52" s="1" t="s">
        <v>56</v>
      </c>
      <c r="B52" s="1" t="s">
        <v>16</v>
      </c>
      <c r="C52" s="1" t="s">
        <v>28</v>
      </c>
      <c r="D52" s="1">
        <v>0.04214749408586612</v>
      </c>
      <c r="E52" s="1">
        <v>0.7313814163208008</v>
      </c>
      <c r="F52" s="1">
        <v>0.7093085050582886</v>
      </c>
      <c r="G52" s="1">
        <v>0.7201758623123169</v>
      </c>
      <c r="H52" s="1">
        <v>0.45454545454545453</v>
      </c>
      <c r="I52" s="1">
        <v>0.11141304347826088</v>
      </c>
      <c r="J52" s="1">
        <v>0.19131614654002715</v>
      </c>
      <c r="K52" s="1">
        <v>0.25508819538670285</v>
      </c>
      <c r="L52" s="1">
        <v>0.0</v>
      </c>
      <c r="M52" s="1">
        <v>0.0</v>
      </c>
      <c r="N52" s="1">
        <v>0.9999999403953552</v>
      </c>
      <c r="O52" s="1">
        <v>0.5545380711555481</v>
      </c>
    </row>
    <row r="53" ht="15.75" customHeight="1">
      <c r="A53" s="1" t="s">
        <v>56</v>
      </c>
      <c r="B53" s="1" t="s">
        <v>16</v>
      </c>
      <c r="C53" s="1" t="s">
        <v>29</v>
      </c>
      <c r="D53" s="1">
        <v>0.040185484295633275</v>
      </c>
      <c r="E53" s="1">
        <v>0.7201623916625977</v>
      </c>
      <c r="F53" s="1">
        <v>0.7000766396522522</v>
      </c>
      <c r="G53" s="1">
        <v>0.7099775075912476</v>
      </c>
      <c r="H53" s="1">
        <v>0.43061605476042314</v>
      </c>
      <c r="I53" s="1">
        <v>0.10841121495327102</v>
      </c>
      <c r="J53" s="1">
        <v>0.18419415059116365</v>
      </c>
      <c r="K53" s="1">
        <v>0.25015556938394523</v>
      </c>
      <c r="L53" s="1">
        <v>0.0</v>
      </c>
      <c r="M53" s="1">
        <v>0.0</v>
      </c>
      <c r="N53" s="1">
        <v>0.9999999403953552</v>
      </c>
      <c r="O53" s="1">
        <v>0.5545380711555481</v>
      </c>
    </row>
    <row r="54" ht="15.75" customHeight="1">
      <c r="A54" s="1" t="s">
        <v>56</v>
      </c>
      <c r="B54" s="1" t="s">
        <v>16</v>
      </c>
      <c r="C54" s="1" t="s">
        <v>30</v>
      </c>
      <c r="D54" s="1">
        <v>0.0341904752770406</v>
      </c>
      <c r="E54" s="1">
        <v>0.7186017036437988</v>
      </c>
      <c r="F54" s="1">
        <v>0.6985806226730347</v>
      </c>
      <c r="G54" s="1">
        <v>0.7084497213363647</v>
      </c>
      <c r="H54" s="1">
        <v>0.39972432804962094</v>
      </c>
      <c r="I54" s="1">
        <v>0.10213940648723258</v>
      </c>
      <c r="J54" s="1">
        <v>0.18056512749827705</v>
      </c>
      <c r="K54" s="1">
        <v>0.22742935906271536</v>
      </c>
      <c r="L54" s="1">
        <v>0.0</v>
      </c>
      <c r="M54" s="1">
        <v>0.0</v>
      </c>
      <c r="N54" s="1">
        <v>0.7693519592285156</v>
      </c>
      <c r="O54" s="1">
        <v>0.48749488592147827</v>
      </c>
    </row>
    <row r="55" ht="15.75" customHeight="1">
      <c r="A55" s="1" t="s">
        <v>56</v>
      </c>
      <c r="B55" s="1" t="s">
        <v>16</v>
      </c>
      <c r="C55" s="1" t="s">
        <v>31</v>
      </c>
      <c r="D55" s="1">
        <v>0.03763141529492282</v>
      </c>
      <c r="E55" s="1">
        <v>0.7247536182403564</v>
      </c>
      <c r="F55" s="1">
        <v>0.6948766708374023</v>
      </c>
      <c r="G55" s="1">
        <v>0.7095007300376892</v>
      </c>
      <c r="H55" s="1">
        <v>0.39193884642112575</v>
      </c>
      <c r="I55" s="1">
        <v>0.10716771050800279</v>
      </c>
      <c r="J55" s="1">
        <v>0.1834607366226546</v>
      </c>
      <c r="K55" s="1">
        <v>0.2237665045170257</v>
      </c>
      <c r="L55" s="1">
        <v>0.0</v>
      </c>
      <c r="M55" s="1">
        <v>0.0</v>
      </c>
      <c r="N55" s="1">
        <v>0.9999999403953552</v>
      </c>
      <c r="O55" s="1">
        <v>0.5545380711555481</v>
      </c>
    </row>
    <row r="56" ht="15.75" customHeight="1">
      <c r="A56" s="1" t="s">
        <v>56</v>
      </c>
      <c r="B56" s="1" t="s">
        <v>16</v>
      </c>
      <c r="C56" s="1" t="s">
        <v>32</v>
      </c>
      <c r="D56" s="1">
        <v>0.023412627970701472</v>
      </c>
      <c r="E56" s="1">
        <v>0.7151515483856201</v>
      </c>
      <c r="F56" s="1">
        <v>0.6936314105987549</v>
      </c>
      <c r="G56" s="1">
        <v>0.704227089881897</v>
      </c>
      <c r="H56" s="1">
        <v>0.46055979643765904</v>
      </c>
      <c r="I56" s="1">
        <v>0.10573248407643313</v>
      </c>
      <c r="J56" s="1">
        <v>0.1984732824427481</v>
      </c>
      <c r="K56" s="1">
        <v>0.23536895674300254</v>
      </c>
      <c r="L56" s="1">
        <v>0.0</v>
      </c>
      <c r="M56" s="1">
        <v>0.0</v>
      </c>
      <c r="N56" s="1">
        <v>0.9999999403953552</v>
      </c>
      <c r="O56" s="1">
        <v>0.5545380711555481</v>
      </c>
    </row>
    <row r="57" ht="15.75" customHeight="1">
      <c r="A57" s="1" t="s">
        <v>56</v>
      </c>
      <c r="B57" s="1" t="s">
        <v>16</v>
      </c>
      <c r="C57" s="1" t="s">
        <v>33</v>
      </c>
      <c r="D57" s="1">
        <v>0.021649836105082264</v>
      </c>
      <c r="E57" s="1">
        <v>0.7151515483856201</v>
      </c>
      <c r="F57" s="1">
        <v>0.6936314105987549</v>
      </c>
      <c r="G57" s="1">
        <v>0.704227089881897</v>
      </c>
      <c r="H57" s="1">
        <v>0.4504983388704319</v>
      </c>
      <c r="I57" s="1">
        <v>0.10645375914836994</v>
      </c>
      <c r="J57" s="1">
        <v>0.20066445182724252</v>
      </c>
      <c r="K57" s="1">
        <v>0.2272425249169435</v>
      </c>
      <c r="L57" s="1">
        <v>0.0</v>
      </c>
      <c r="M57" s="1">
        <v>0.0</v>
      </c>
      <c r="N57" s="1">
        <v>0.9999999403953552</v>
      </c>
      <c r="O57" s="1">
        <v>0.5545380711555481</v>
      </c>
    </row>
    <row r="58" ht="15.75" customHeight="1">
      <c r="A58" s="1" t="s">
        <v>56</v>
      </c>
      <c r="B58" s="1" t="s">
        <v>16</v>
      </c>
      <c r="C58" s="1" t="s">
        <v>34</v>
      </c>
      <c r="D58" s="1">
        <v>0.018599705620876286</v>
      </c>
      <c r="E58" s="1">
        <v>0.7199512720108032</v>
      </c>
      <c r="F58" s="1">
        <v>0.6979568600654602</v>
      </c>
      <c r="G58" s="1">
        <v>0.7087834477424622</v>
      </c>
      <c r="H58" s="1">
        <v>0.4373702422145329</v>
      </c>
      <c r="I58" s="1">
        <v>0.10672210672210673</v>
      </c>
      <c r="J58" s="1">
        <v>0.19515570934256057</v>
      </c>
      <c r="K58" s="1">
        <v>0.23667820069204154</v>
      </c>
      <c r="L58" s="1">
        <v>0.0</v>
      </c>
      <c r="M58" s="1">
        <v>0.0</v>
      </c>
      <c r="N58" s="1">
        <v>0.9999999403953552</v>
      </c>
      <c r="O58" s="1">
        <v>0.5545380711555481</v>
      </c>
    </row>
    <row r="59" ht="15.75" customHeight="1">
      <c r="A59" s="1" t="s">
        <v>56</v>
      </c>
      <c r="B59" s="1" t="s">
        <v>16</v>
      </c>
      <c r="C59" s="1" t="s">
        <v>35</v>
      </c>
      <c r="D59" s="1">
        <v>0.018045276115735802</v>
      </c>
      <c r="E59" s="1">
        <v>0.7162473201751709</v>
      </c>
      <c r="F59" s="1">
        <v>0.6916202902793884</v>
      </c>
      <c r="G59" s="1">
        <v>0.7037184238433838</v>
      </c>
      <c r="H59" s="1">
        <v>0.37230081906180196</v>
      </c>
      <c r="I59" s="1">
        <v>0.09545115585384042</v>
      </c>
      <c r="J59" s="1">
        <v>0.16232315711094564</v>
      </c>
      <c r="K59" s="1">
        <v>0.2144452717795979</v>
      </c>
      <c r="L59" s="1">
        <v>0.0</v>
      </c>
      <c r="M59" s="1">
        <v>0.0</v>
      </c>
      <c r="N59" s="1">
        <v>0.9999999403953552</v>
      </c>
      <c r="O59" s="1">
        <v>0.5545380711555481</v>
      </c>
    </row>
    <row r="60" ht="15.75" customHeight="1">
      <c r="A60" s="1" t="s">
        <v>56</v>
      </c>
      <c r="B60" s="1" t="s">
        <v>16</v>
      </c>
      <c r="C60" s="1" t="s">
        <v>36</v>
      </c>
      <c r="D60" s="1">
        <v>0.040168804612485134</v>
      </c>
      <c r="E60" s="1">
        <v>0.7327108383178711</v>
      </c>
      <c r="F60" s="1">
        <v>0.7071280479431152</v>
      </c>
      <c r="G60" s="1">
        <v>0.7196921706199646</v>
      </c>
      <c r="H60" s="1">
        <v>0.3985865724381626</v>
      </c>
      <c r="I60" s="1">
        <v>0.11606510969568296</v>
      </c>
      <c r="J60" s="1">
        <v>0.18091872791519434</v>
      </c>
      <c r="K60" s="1">
        <v>0.23321554770318023</v>
      </c>
      <c r="L60" s="1">
        <v>0.0</v>
      </c>
      <c r="M60" s="1">
        <v>0.0</v>
      </c>
      <c r="N60" s="1">
        <v>0.9999999403953552</v>
      </c>
      <c r="O60" s="1">
        <v>0.5545380711555481</v>
      </c>
    </row>
    <row r="61" ht="15.75" customHeight="1">
      <c r="A61" s="1" t="s">
        <v>56</v>
      </c>
      <c r="B61" s="1" t="s">
        <v>16</v>
      </c>
      <c r="C61" s="1" t="s">
        <v>37</v>
      </c>
      <c r="D61" s="1">
        <v>0.045682240544106266</v>
      </c>
      <c r="E61" s="1">
        <v>0.7391147017478943</v>
      </c>
      <c r="F61" s="1">
        <v>0.7043507099151611</v>
      </c>
      <c r="G61" s="1">
        <v>0.7213140726089478</v>
      </c>
      <c r="H61" s="1">
        <v>0.4067340067340067</v>
      </c>
      <c r="I61" s="1">
        <v>0.1078894133513149</v>
      </c>
      <c r="J61" s="1">
        <v>0.17643097643097644</v>
      </c>
      <c r="K61" s="1">
        <v>0.24107744107744106</v>
      </c>
      <c r="L61" s="1">
        <v>0.0</v>
      </c>
      <c r="M61" s="1">
        <v>0.0</v>
      </c>
      <c r="N61" s="1">
        <v>0.7693519592285156</v>
      </c>
      <c r="O61" s="1">
        <v>0.48749488592147827</v>
      </c>
    </row>
    <row r="62" ht="15.75" customHeight="1">
      <c r="A62" s="1" t="s">
        <v>56</v>
      </c>
      <c r="B62" s="1" t="s">
        <v>16</v>
      </c>
      <c r="C62" s="1" t="s">
        <v>38</v>
      </c>
      <c r="D62" s="1">
        <v>0.037865319901855786</v>
      </c>
      <c r="E62" s="1">
        <v>0.7263250350952148</v>
      </c>
      <c r="F62" s="1">
        <v>0.700615644454956</v>
      </c>
      <c r="G62" s="1">
        <v>0.7132387161254883</v>
      </c>
      <c r="H62" s="1">
        <v>0.4447368421052631</v>
      </c>
      <c r="I62" s="1">
        <v>0.11462450592885375</v>
      </c>
      <c r="J62" s="1">
        <v>0.17894736842105263</v>
      </c>
      <c r="K62" s="1">
        <v>0.2552631578947368</v>
      </c>
      <c r="L62" s="1">
        <v>0.0</v>
      </c>
      <c r="M62" s="1">
        <v>0.0</v>
      </c>
      <c r="N62" s="1">
        <v>0.9999999403953552</v>
      </c>
      <c r="O62" s="1">
        <v>0.5545380711555481</v>
      </c>
    </row>
    <row r="63" ht="15.75" customHeight="1">
      <c r="A63" s="1" t="s">
        <v>56</v>
      </c>
      <c r="B63" s="1" t="s">
        <v>16</v>
      </c>
      <c r="C63" s="1" t="s">
        <v>39</v>
      </c>
      <c r="D63" s="1">
        <v>0.020104205959762405</v>
      </c>
      <c r="E63" s="1">
        <v>0.7262144088745117</v>
      </c>
      <c r="F63" s="1">
        <v>0.7005500793457031</v>
      </c>
      <c r="G63" s="1">
        <v>0.7131513953208923</v>
      </c>
      <c r="H63" s="1">
        <v>0.37395912187736563</v>
      </c>
      <c r="I63" s="1">
        <v>0.10462471569370733</v>
      </c>
      <c r="J63" s="1">
        <v>0.16654049962149886</v>
      </c>
      <c r="K63" s="1">
        <v>0.21801665404996215</v>
      </c>
      <c r="L63" s="1">
        <v>0.0</v>
      </c>
      <c r="M63" s="1">
        <v>0.0</v>
      </c>
      <c r="N63" s="1">
        <v>0.9999999403953552</v>
      </c>
      <c r="O63" s="1">
        <v>0.5545380711555481</v>
      </c>
    </row>
    <row r="64" ht="15.75" customHeight="1">
      <c r="A64" s="1" t="s">
        <v>56</v>
      </c>
      <c r="B64" s="1" t="s">
        <v>16</v>
      </c>
      <c r="C64" s="1" t="s">
        <v>40</v>
      </c>
      <c r="D64" s="1">
        <v>0.020553178852711892</v>
      </c>
      <c r="E64" s="1">
        <v>0.7230567336082458</v>
      </c>
      <c r="F64" s="1">
        <v>0.7058015465736389</v>
      </c>
      <c r="G64" s="1">
        <v>0.714324951171875</v>
      </c>
      <c r="H64" s="1">
        <v>0.3895553987297107</v>
      </c>
      <c r="I64" s="1">
        <v>0.08480565371024734</v>
      </c>
      <c r="J64" s="1">
        <v>0.17360621030345802</v>
      </c>
      <c r="K64" s="1">
        <v>0.2328863796753705</v>
      </c>
      <c r="L64" s="1">
        <v>0.0</v>
      </c>
      <c r="M64" s="1">
        <v>0.0</v>
      </c>
      <c r="N64" s="1">
        <v>0.9999999403953552</v>
      </c>
      <c r="O64" s="1">
        <v>0.5545380711555481</v>
      </c>
    </row>
    <row r="65" ht="15.75" customHeight="1">
      <c r="A65" s="1" t="s">
        <v>56</v>
      </c>
      <c r="B65" s="1" t="s">
        <v>16</v>
      </c>
      <c r="C65" s="1" t="s">
        <v>41</v>
      </c>
      <c r="D65" s="1">
        <v>0.010740672090066503</v>
      </c>
      <c r="E65" s="1">
        <v>0.7153716087341309</v>
      </c>
      <c r="F65" s="1">
        <v>0.7016189098358154</v>
      </c>
      <c r="G65" s="1">
        <v>0.7084285020828247</v>
      </c>
      <c r="H65" s="1">
        <v>0.33152594887683967</v>
      </c>
      <c r="I65" s="1">
        <v>0.057408844065166796</v>
      </c>
      <c r="J65" s="1">
        <v>0.15956622773044152</v>
      </c>
      <c r="K65" s="1">
        <v>0.21068938807126256</v>
      </c>
      <c r="L65" s="1">
        <v>0.7023138999938965</v>
      </c>
      <c r="M65" s="1">
        <v>0.6429824233055115</v>
      </c>
      <c r="N65" s="1">
        <v>0.7023138999938965</v>
      </c>
      <c r="O65" s="1">
        <v>0.6429824233055115</v>
      </c>
    </row>
    <row r="66" ht="15.75" customHeight="1">
      <c r="A66" s="1" t="s">
        <v>56</v>
      </c>
      <c r="B66" s="1" t="s">
        <v>16</v>
      </c>
      <c r="C66" s="1" t="s">
        <v>42</v>
      </c>
      <c r="D66" s="1">
        <v>0.02348984272603956</v>
      </c>
      <c r="E66" s="1">
        <v>0.7359343767166138</v>
      </c>
      <c r="F66" s="1">
        <v>0.699051022529602</v>
      </c>
      <c r="G66" s="1">
        <v>0.7170186638832092</v>
      </c>
      <c r="H66" s="1">
        <v>0.3225320271288621</v>
      </c>
      <c r="I66" s="1">
        <v>0.07849056603773585</v>
      </c>
      <c r="J66" s="1">
        <v>0.15825169555388094</v>
      </c>
      <c r="K66" s="1">
        <v>0.19894498869630745</v>
      </c>
      <c r="L66" s="1">
        <v>0.0</v>
      </c>
      <c r="M66" s="1">
        <v>0.0</v>
      </c>
      <c r="N66" s="1">
        <v>0.7693519592285156</v>
      </c>
      <c r="O66" s="1">
        <v>0.48749488592147827</v>
      </c>
    </row>
    <row r="67" ht="15.75" customHeight="1">
      <c r="A67" s="1" t="s">
        <v>56</v>
      </c>
      <c r="B67" s="1" t="s">
        <v>16</v>
      </c>
      <c r="C67" s="1" t="s">
        <v>43</v>
      </c>
      <c r="D67" s="1">
        <v>0.02109859940844629</v>
      </c>
      <c r="E67" s="1">
        <v>0.721277117729187</v>
      </c>
      <c r="F67" s="1">
        <v>0.7057843208312988</v>
      </c>
      <c r="G67" s="1">
        <v>0.7134466767311096</v>
      </c>
      <c r="H67" s="1">
        <v>0.34609720176730485</v>
      </c>
      <c r="I67" s="1">
        <v>0.08112094395280235</v>
      </c>
      <c r="J67" s="1">
        <v>0.1487481590574374</v>
      </c>
      <c r="K67" s="1">
        <v>0.20913107511045656</v>
      </c>
      <c r="L67" s="1">
        <v>0.8271334767341614</v>
      </c>
      <c r="M67" s="1">
        <v>0.5211315751075745</v>
      </c>
      <c r="N67" s="1">
        <v>0.8271334767341614</v>
      </c>
      <c r="O67" s="1">
        <v>0.5211315751075745</v>
      </c>
    </row>
    <row r="68" ht="15.75" customHeight="1">
      <c r="A68" s="1" t="s">
        <v>56</v>
      </c>
      <c r="B68" s="1" t="s">
        <v>16</v>
      </c>
      <c r="C68" s="1" t="s">
        <v>44</v>
      </c>
      <c r="D68" s="1">
        <v>0.011668952783643242</v>
      </c>
      <c r="E68" s="1">
        <v>0.7384743690490723</v>
      </c>
      <c r="F68" s="1">
        <v>0.701697826385498</v>
      </c>
      <c r="G68" s="1">
        <v>0.7196165323257446</v>
      </c>
      <c r="H68" s="1">
        <v>0.30363036303630364</v>
      </c>
      <c r="I68" s="1">
        <v>0.0859504132231405</v>
      </c>
      <c r="J68" s="1">
        <v>0.15016501650165015</v>
      </c>
      <c r="K68" s="1">
        <v>0.19471947194719472</v>
      </c>
      <c r="L68" s="1">
        <v>0.0</v>
      </c>
      <c r="M68" s="1">
        <v>0.0</v>
      </c>
      <c r="N68" s="1">
        <v>0.7693519592285156</v>
      </c>
      <c r="O68" s="1">
        <v>0.48749488592147827</v>
      </c>
    </row>
    <row r="69" ht="15.75" customHeight="1">
      <c r="A69" s="1" t="s">
        <v>56</v>
      </c>
      <c r="B69" s="1" t="s">
        <v>16</v>
      </c>
      <c r="C69" s="1" t="s">
        <v>45</v>
      </c>
      <c r="D69" s="1">
        <v>0.011668952783643242</v>
      </c>
      <c r="E69" s="1">
        <v>0.7384743690490723</v>
      </c>
      <c r="F69" s="1">
        <v>0.701697826385498</v>
      </c>
      <c r="G69" s="1">
        <v>0.7196165323257446</v>
      </c>
      <c r="H69" s="1">
        <v>0.30363036303630364</v>
      </c>
      <c r="I69" s="1">
        <v>0.0859504132231405</v>
      </c>
      <c r="J69" s="1">
        <v>0.15016501650165015</v>
      </c>
      <c r="K69" s="1">
        <v>0.19471947194719472</v>
      </c>
      <c r="L69" s="1">
        <v>0.0</v>
      </c>
      <c r="M69" s="1">
        <v>0.0</v>
      </c>
      <c r="N69" s="1">
        <v>0.7693519592285156</v>
      </c>
      <c r="O69" s="1">
        <v>0.48749488592147827</v>
      </c>
    </row>
    <row r="70" ht="15.75" customHeight="1">
      <c r="A70" s="1" t="s">
        <v>56</v>
      </c>
      <c r="B70" s="1" t="s">
        <v>16</v>
      </c>
      <c r="C70" s="1" t="s">
        <v>46</v>
      </c>
      <c r="D70" s="1">
        <v>0.01170943430564898</v>
      </c>
      <c r="E70" s="1">
        <v>0.7281744480133057</v>
      </c>
      <c r="F70" s="1">
        <v>0.6890741586685181</v>
      </c>
      <c r="G70" s="1">
        <v>0.7080849409103394</v>
      </c>
      <c r="H70" s="1">
        <v>0.32222222222222224</v>
      </c>
      <c r="I70" s="1">
        <v>0.07949125596184418</v>
      </c>
      <c r="J70" s="1">
        <v>0.1619047619047619</v>
      </c>
      <c r="K70" s="1">
        <v>0.1888888888888889</v>
      </c>
      <c r="L70" s="1">
        <v>0.0</v>
      </c>
      <c r="M70" s="1">
        <v>0.0</v>
      </c>
      <c r="N70" s="1">
        <v>0.7693519592285156</v>
      </c>
      <c r="O70" s="1">
        <v>0.48749488592147827</v>
      </c>
    </row>
    <row r="71" ht="15.75" customHeight="1">
      <c r="A71" s="1" t="s">
        <v>56</v>
      </c>
      <c r="B71" s="1" t="s">
        <v>16</v>
      </c>
      <c r="C71" s="1" t="s">
        <v>47</v>
      </c>
      <c r="D71" s="1">
        <v>0.020319523921863848</v>
      </c>
      <c r="E71" s="1">
        <v>0.7295830845832825</v>
      </c>
      <c r="F71" s="1">
        <v>0.7075185775756836</v>
      </c>
      <c r="G71" s="1">
        <v>0.7183814644813538</v>
      </c>
      <c r="H71" s="1">
        <v>0.37625178826895567</v>
      </c>
      <c r="I71" s="1">
        <v>0.08739255014326647</v>
      </c>
      <c r="J71" s="1">
        <v>0.17167381974248927</v>
      </c>
      <c r="K71" s="1">
        <v>0.22603719599427755</v>
      </c>
      <c r="L71" s="1">
        <v>0.0</v>
      </c>
      <c r="M71" s="1">
        <v>0.0</v>
      </c>
      <c r="N71" s="1">
        <v>0.9999999403953552</v>
      </c>
      <c r="O71" s="1">
        <v>0.5545380711555481</v>
      </c>
    </row>
    <row r="72" ht="15.75" customHeight="1">
      <c r="A72" s="1" t="s">
        <v>56</v>
      </c>
      <c r="B72" s="1" t="s">
        <v>16</v>
      </c>
      <c r="C72" s="1" t="s">
        <v>48</v>
      </c>
      <c r="D72" s="1">
        <v>0.032264429435974185</v>
      </c>
      <c r="E72" s="1">
        <v>0.7390693426132202</v>
      </c>
      <c r="F72" s="1">
        <v>0.716193675994873</v>
      </c>
      <c r="G72" s="1">
        <v>0.7274516820907593</v>
      </c>
      <c r="H72" s="1">
        <v>0.3648449039881832</v>
      </c>
      <c r="I72" s="1">
        <v>0.10502958579881658</v>
      </c>
      <c r="J72" s="1">
        <v>0.16100443131462333</v>
      </c>
      <c r="K72" s="1">
        <v>0.22895125553914328</v>
      </c>
      <c r="L72" s="1">
        <v>0.7023138999938965</v>
      </c>
      <c r="M72" s="1">
        <v>0.6429824233055115</v>
      </c>
      <c r="N72" s="1">
        <v>0.7023138999938965</v>
      </c>
      <c r="O72" s="1">
        <v>0.6429824233055115</v>
      </c>
    </row>
    <row r="73" ht="15.75" customHeight="1">
      <c r="A73" s="1" t="s">
        <v>56</v>
      </c>
      <c r="B73" s="1" t="s">
        <v>16</v>
      </c>
      <c r="C73" s="1" t="s">
        <v>49</v>
      </c>
      <c r="D73" s="1">
        <v>0.018762652749998415</v>
      </c>
      <c r="E73" s="1">
        <v>0.7348492741584778</v>
      </c>
      <c r="F73" s="1">
        <v>0.7147728800773621</v>
      </c>
      <c r="G73" s="1">
        <v>0.7246720194816589</v>
      </c>
      <c r="H73" s="1">
        <v>0.3721973094170404</v>
      </c>
      <c r="I73" s="1">
        <v>0.08532934131736526</v>
      </c>
      <c r="J73" s="1">
        <v>0.16442451420029897</v>
      </c>
      <c r="K73" s="1">
        <v>0.21225710014947682</v>
      </c>
      <c r="L73" s="1">
        <v>0.0</v>
      </c>
      <c r="M73" s="1">
        <v>0.0</v>
      </c>
      <c r="N73" s="1">
        <v>0.9999999403953552</v>
      </c>
      <c r="O73" s="1">
        <v>0.5545380711555481</v>
      </c>
    </row>
    <row r="74" ht="15.75" customHeight="1">
      <c r="A74" s="1" t="s">
        <v>56</v>
      </c>
      <c r="B74" s="1" t="s">
        <v>16</v>
      </c>
      <c r="C74" s="1" t="s">
        <v>50</v>
      </c>
      <c r="D74" s="1">
        <v>0.0</v>
      </c>
      <c r="E74" s="1">
        <v>0.6503878831863403</v>
      </c>
      <c r="F74" s="1">
        <v>0.6301312446594238</v>
      </c>
      <c r="G74" s="1">
        <v>0.6400993466377258</v>
      </c>
      <c r="H74" s="1">
        <v>0.30769230769230765</v>
      </c>
      <c r="I74" s="1">
        <v>0.07787903893951946</v>
      </c>
      <c r="J74" s="1">
        <v>0.15053763440860216</v>
      </c>
      <c r="K74" s="1">
        <v>0.2001654259718776</v>
      </c>
      <c r="L74" s="1">
        <v>0.0</v>
      </c>
      <c r="M74" s="1">
        <v>0.0</v>
      </c>
      <c r="N74" s="1">
        <v>0.8277580142021179</v>
      </c>
      <c r="O74" s="1">
        <v>0.5672008395195007</v>
      </c>
    </row>
    <row r="75" ht="15.75" customHeight="1">
      <c r="A75" s="1" t="s">
        <v>56</v>
      </c>
      <c r="B75" s="1" t="s">
        <v>16</v>
      </c>
      <c r="C75" s="1" t="s">
        <v>51</v>
      </c>
      <c r="D75" s="1">
        <v>0.0</v>
      </c>
      <c r="E75" s="1">
        <v>0.6503878831863403</v>
      </c>
      <c r="F75" s="1">
        <v>0.6301312446594238</v>
      </c>
      <c r="G75" s="1">
        <v>0.6400993466377258</v>
      </c>
      <c r="H75" s="1">
        <v>0.30769230769230765</v>
      </c>
      <c r="I75" s="1">
        <v>0.07787903893951946</v>
      </c>
      <c r="J75" s="1">
        <v>0.15053763440860216</v>
      </c>
      <c r="K75" s="1">
        <v>0.2001654259718776</v>
      </c>
      <c r="L75" s="1">
        <v>0.0</v>
      </c>
      <c r="M75" s="1">
        <v>0.0</v>
      </c>
      <c r="N75" s="1">
        <v>0.8277580142021179</v>
      </c>
      <c r="O75" s="1">
        <v>0.5672008395195007</v>
      </c>
    </row>
    <row r="76" ht="15.75" customHeight="1">
      <c r="A76" s="1" t="s">
        <v>56</v>
      </c>
      <c r="B76" s="1" t="s">
        <v>16</v>
      </c>
      <c r="C76" s="1" t="s">
        <v>52</v>
      </c>
      <c r="D76" s="1">
        <v>0.017480168171754976</v>
      </c>
      <c r="E76" s="1">
        <v>0.7443844676017761</v>
      </c>
      <c r="F76" s="1">
        <v>0.7032968997955322</v>
      </c>
      <c r="G76" s="1">
        <v>0.7232575416564941</v>
      </c>
      <c r="H76" s="1">
        <v>0.3380952380952381</v>
      </c>
      <c r="I76" s="1">
        <v>0.09220985691573927</v>
      </c>
      <c r="J76" s="1">
        <v>0.15555555555555559</v>
      </c>
      <c r="K76" s="1">
        <v>0.19999999999999998</v>
      </c>
      <c r="L76" s="1">
        <v>0.0</v>
      </c>
      <c r="M76" s="1">
        <v>0.0</v>
      </c>
      <c r="N76" s="1">
        <v>0.8277580142021179</v>
      </c>
      <c r="O76" s="1">
        <v>0.5672008395195007</v>
      </c>
    </row>
    <row r="77" ht="15.75" customHeight="1">
      <c r="A77" s="1" t="s">
        <v>56</v>
      </c>
      <c r="B77" s="1" t="s">
        <v>16</v>
      </c>
      <c r="C77" s="1" t="s">
        <v>53</v>
      </c>
      <c r="D77" s="1">
        <v>0.03526418482198639</v>
      </c>
      <c r="E77" s="1">
        <v>0.7433568835258484</v>
      </c>
      <c r="F77" s="1">
        <v>0.7222908139228821</v>
      </c>
      <c r="G77" s="1">
        <v>0.7326724529266357</v>
      </c>
      <c r="H77" s="1">
        <v>0.44490358126721763</v>
      </c>
      <c r="I77" s="1">
        <v>0.12551724137931033</v>
      </c>
      <c r="J77" s="1">
        <v>0.18181818181818182</v>
      </c>
      <c r="K77" s="1">
        <v>0.24517906336088155</v>
      </c>
      <c r="L77" s="1">
        <v>0.0</v>
      </c>
      <c r="M77" s="1">
        <v>0.0</v>
      </c>
      <c r="N77" s="1">
        <v>0.9999999403953552</v>
      </c>
      <c r="O77" s="1">
        <v>0.5545380711555481</v>
      </c>
    </row>
    <row r="78" ht="15.75" customHeight="1">
      <c r="A78" s="1" t="s">
        <v>56</v>
      </c>
      <c r="B78" s="1" t="s">
        <v>16</v>
      </c>
      <c r="C78" s="1" t="s">
        <v>54</v>
      </c>
      <c r="D78" s="1">
        <v>0.03011438082111747</v>
      </c>
      <c r="E78" s="1">
        <v>0.7301548719406128</v>
      </c>
      <c r="F78" s="1">
        <v>0.7119228839874268</v>
      </c>
      <c r="G78" s="1">
        <v>0.7209236025810242</v>
      </c>
      <c r="H78" s="1">
        <v>0.48518518518518516</v>
      </c>
      <c r="I78" s="1">
        <v>0.12484548825710753</v>
      </c>
      <c r="J78" s="1">
        <v>0.18641975308641978</v>
      </c>
      <c r="K78" s="1">
        <v>0.2728395061728395</v>
      </c>
      <c r="L78" s="1">
        <v>0.0</v>
      </c>
      <c r="M78" s="1">
        <v>0.0</v>
      </c>
      <c r="N78" s="1">
        <v>0.9999999403953552</v>
      </c>
      <c r="O78" s="1">
        <v>0.5545380711555481</v>
      </c>
    </row>
    <row r="79" ht="15.75" customHeight="1">
      <c r="A79" s="1" t="s">
        <v>56</v>
      </c>
      <c r="B79" s="1" t="s">
        <v>16</v>
      </c>
      <c r="C79" s="1" t="s">
        <v>55</v>
      </c>
      <c r="D79" s="1">
        <v>0.05430975384077286</v>
      </c>
      <c r="E79" s="1">
        <v>0.738656759262085</v>
      </c>
      <c r="F79" s="1">
        <v>0.7175053954124451</v>
      </c>
      <c r="G79" s="1">
        <v>0.7279273867607117</v>
      </c>
      <c r="H79" s="1">
        <v>0.47874427730542835</v>
      </c>
      <c r="I79" s="1">
        <v>0.13097576948264572</v>
      </c>
      <c r="J79" s="1">
        <v>0.19620667102681488</v>
      </c>
      <c r="K79" s="1">
        <v>0.27468933943754087</v>
      </c>
      <c r="L79" s="1">
        <v>0.0</v>
      </c>
      <c r="M79" s="1">
        <v>0.0</v>
      </c>
      <c r="N79" s="1">
        <v>0.9999999403953552</v>
      </c>
      <c r="O79" s="1">
        <v>0.5545380711555481</v>
      </c>
    </row>
    <row r="80" ht="15.75" customHeight="1">
      <c r="A80" s="1" t="s">
        <v>57</v>
      </c>
      <c r="B80" s="1" t="s">
        <v>16</v>
      </c>
      <c r="C80" s="1" t="s">
        <v>17</v>
      </c>
      <c r="D80" s="1">
        <v>0.10199457309034554</v>
      </c>
      <c r="E80" s="1">
        <v>0.7517716884613037</v>
      </c>
      <c r="F80" s="1">
        <v>0.7481613159179688</v>
      </c>
      <c r="G80" s="1">
        <v>0.7499621510505676</v>
      </c>
      <c r="H80" s="1">
        <v>0.5145228215767634</v>
      </c>
      <c r="I80" s="1">
        <v>0.16095534787123572</v>
      </c>
      <c r="J80" s="1">
        <v>0.19502074688796678</v>
      </c>
      <c r="K80" s="1">
        <v>0.29045643153526973</v>
      </c>
      <c r="L80" s="1">
        <v>0.0</v>
      </c>
      <c r="M80" s="1">
        <v>0.0</v>
      </c>
      <c r="N80" s="1">
        <v>0.9999999403953552</v>
      </c>
      <c r="O80" s="1">
        <v>0.9999999403953552</v>
      </c>
    </row>
    <row r="81" ht="15.75" customHeight="1">
      <c r="A81" s="1" t="s">
        <v>57</v>
      </c>
      <c r="B81" s="1" t="s">
        <v>16</v>
      </c>
      <c r="C81" s="1" t="s">
        <v>18</v>
      </c>
      <c r="D81" s="1">
        <v>0.10349588411581717</v>
      </c>
      <c r="E81" s="1">
        <v>0.7569897770881653</v>
      </c>
      <c r="F81" s="1">
        <v>0.7503923177719116</v>
      </c>
      <c r="G81" s="1">
        <v>0.7536765336990356</v>
      </c>
      <c r="H81" s="1">
        <v>0.515527950310559</v>
      </c>
      <c r="I81" s="1">
        <v>0.16683937823834197</v>
      </c>
      <c r="J81" s="1">
        <v>0.19565217391304346</v>
      </c>
      <c r="K81" s="1">
        <v>0.28881987577639756</v>
      </c>
      <c r="L81" s="1">
        <v>0.0</v>
      </c>
      <c r="M81" s="1">
        <v>0.0</v>
      </c>
      <c r="N81" s="1">
        <v>0.9999999403953552</v>
      </c>
      <c r="O81" s="1">
        <v>0.9999999403953552</v>
      </c>
    </row>
    <row r="82" ht="15.75" customHeight="1">
      <c r="A82" s="1" t="s">
        <v>57</v>
      </c>
      <c r="B82" s="1" t="s">
        <v>16</v>
      </c>
      <c r="C82" s="1" t="s">
        <v>19</v>
      </c>
      <c r="D82" s="1">
        <v>0.09639470435895699</v>
      </c>
      <c r="E82" s="1">
        <v>0.7560957670211792</v>
      </c>
      <c r="F82" s="1">
        <v>0.741830587387085</v>
      </c>
      <c r="G82" s="1">
        <v>0.7488952279090881</v>
      </c>
      <c r="H82" s="1">
        <v>0.49373191899710706</v>
      </c>
      <c r="I82" s="1">
        <v>0.166023166023166</v>
      </c>
      <c r="J82" s="1">
        <v>0.18997107039537128</v>
      </c>
      <c r="K82" s="1">
        <v>0.28640308582449375</v>
      </c>
      <c r="L82" s="1">
        <v>0.0</v>
      </c>
      <c r="M82" s="1">
        <v>0.0</v>
      </c>
      <c r="N82" s="1">
        <v>0.9999999403953552</v>
      </c>
      <c r="O82" s="1">
        <v>0.9999999403953552</v>
      </c>
    </row>
    <row r="83" ht="15.75" customHeight="1">
      <c r="A83" s="1" t="s">
        <v>57</v>
      </c>
      <c r="B83" s="1" t="s">
        <v>16</v>
      </c>
      <c r="C83" s="1" t="s">
        <v>20</v>
      </c>
      <c r="D83" s="1">
        <v>0.06763446999236523</v>
      </c>
      <c r="E83" s="1">
        <v>0.7331551909446716</v>
      </c>
      <c r="F83" s="1">
        <v>0.7267712950706482</v>
      </c>
      <c r="G83" s="1">
        <v>0.7299492955207825</v>
      </c>
      <c r="H83" s="1">
        <v>0.4786215698787492</v>
      </c>
      <c r="I83" s="1">
        <v>0.14185303514376996</v>
      </c>
      <c r="J83" s="1">
        <v>0.20038289725590303</v>
      </c>
      <c r="K83" s="1">
        <v>0.27185705169112956</v>
      </c>
      <c r="L83" s="1">
        <v>0.0</v>
      </c>
      <c r="M83" s="1">
        <v>0.0</v>
      </c>
      <c r="N83" s="1">
        <v>0.9999999403953552</v>
      </c>
      <c r="O83" s="1">
        <v>0.9999999403953552</v>
      </c>
    </row>
    <row r="84" ht="15.75" customHeight="1">
      <c r="A84" s="1" t="s">
        <v>57</v>
      </c>
      <c r="B84" s="1" t="s">
        <v>16</v>
      </c>
      <c r="C84" s="1" t="s">
        <v>21</v>
      </c>
      <c r="D84" s="1">
        <v>0.07568502934370488</v>
      </c>
      <c r="E84" s="1">
        <v>0.7353314161300659</v>
      </c>
      <c r="F84" s="1">
        <v>0.7317997217178345</v>
      </c>
      <c r="G84" s="1">
        <v>0.7335613369941711</v>
      </c>
      <c r="H84" s="1">
        <v>0.5136944613511868</v>
      </c>
      <c r="I84" s="1">
        <v>0.1450335161486898</v>
      </c>
      <c r="J84" s="1">
        <v>0.21180766889835667</v>
      </c>
      <c r="K84" s="1">
        <v>0.2726719415702982</v>
      </c>
      <c r="L84" s="1">
        <v>0.0</v>
      </c>
      <c r="M84" s="1">
        <v>0.0</v>
      </c>
      <c r="N84" s="1">
        <v>0.9999999403953552</v>
      </c>
      <c r="O84" s="1">
        <v>0.9999999403953552</v>
      </c>
    </row>
    <row r="85" ht="15.75" customHeight="1">
      <c r="A85" s="1" t="s">
        <v>57</v>
      </c>
      <c r="B85" s="1" t="s">
        <v>16</v>
      </c>
      <c r="C85" s="1" t="s">
        <v>22</v>
      </c>
      <c r="D85" s="1">
        <v>0.06527791998982002</v>
      </c>
      <c r="E85" s="1">
        <v>0.751964807510376</v>
      </c>
      <c r="F85" s="1">
        <v>0.7400058507919312</v>
      </c>
      <c r="G85" s="1">
        <v>0.7459374070167542</v>
      </c>
      <c r="H85" s="1">
        <v>0.4965343415248897</v>
      </c>
      <c r="I85" s="1">
        <v>0.1249211356466877</v>
      </c>
      <c r="J85" s="1">
        <v>0.1953371140516698</v>
      </c>
      <c r="K85" s="1">
        <v>0.27851291745431633</v>
      </c>
      <c r="L85" s="1">
        <v>0.0</v>
      </c>
      <c r="M85" s="1">
        <v>0.0</v>
      </c>
      <c r="N85" s="1">
        <v>0.9999999403953552</v>
      </c>
      <c r="O85" s="1">
        <v>0.9999999403953552</v>
      </c>
    </row>
    <row r="86" ht="15.75" customHeight="1">
      <c r="A86" s="1" t="s">
        <v>57</v>
      </c>
      <c r="B86" s="1" t="s">
        <v>16</v>
      </c>
      <c r="C86" s="1" t="s">
        <v>23</v>
      </c>
      <c r="D86" s="1">
        <v>0.04794497047126003</v>
      </c>
      <c r="E86" s="1">
        <v>0.7493394613265991</v>
      </c>
      <c r="F86" s="1">
        <v>0.7387650012969971</v>
      </c>
      <c r="G86" s="1">
        <v>0.7440146803855896</v>
      </c>
      <c r="H86" s="1">
        <v>0.4444444444444445</v>
      </c>
      <c r="I86" s="1">
        <v>0.11598111935266353</v>
      </c>
      <c r="J86" s="1">
        <v>0.19124579124579125</v>
      </c>
      <c r="K86" s="1">
        <v>0.26262626262626265</v>
      </c>
      <c r="L86" s="1">
        <v>0.0</v>
      </c>
      <c r="M86" s="1">
        <v>0.0</v>
      </c>
      <c r="N86" s="1">
        <v>0.9999999403953552</v>
      </c>
      <c r="O86" s="1">
        <v>0.9999999403953552</v>
      </c>
    </row>
    <row r="87" ht="15.75" customHeight="1">
      <c r="A87" s="1" t="s">
        <v>57</v>
      </c>
      <c r="B87" s="1" t="s">
        <v>16</v>
      </c>
      <c r="C87" s="1" t="s">
        <v>24</v>
      </c>
      <c r="D87" s="1">
        <v>0.058063387936699865</v>
      </c>
      <c r="E87" s="1">
        <v>0.75547194480896</v>
      </c>
      <c r="F87" s="1">
        <v>0.7429813146591187</v>
      </c>
      <c r="G87" s="1">
        <v>0.7491745352745056</v>
      </c>
      <c r="H87" s="1">
        <v>0.4442934782608695</v>
      </c>
      <c r="I87" s="1">
        <v>0.12108843537414966</v>
      </c>
      <c r="J87" s="1">
        <v>0.19157608695652176</v>
      </c>
      <c r="K87" s="1">
        <v>0.264945652173913</v>
      </c>
      <c r="L87" s="1">
        <v>0.0</v>
      </c>
      <c r="M87" s="1">
        <v>0.0</v>
      </c>
      <c r="N87" s="1">
        <v>0.9999999403953552</v>
      </c>
      <c r="O87" s="1">
        <v>0.9999999403953552</v>
      </c>
    </row>
    <row r="88" ht="15.75" customHeight="1">
      <c r="A88" s="1" t="s">
        <v>57</v>
      </c>
      <c r="B88" s="1" t="s">
        <v>16</v>
      </c>
      <c r="C88" s="1" t="s">
        <v>25</v>
      </c>
      <c r="D88" s="1">
        <v>0.058063387936699865</v>
      </c>
      <c r="E88" s="1">
        <v>0.75547194480896</v>
      </c>
      <c r="F88" s="1">
        <v>0.7429813146591187</v>
      </c>
      <c r="G88" s="1">
        <v>0.7491745352745056</v>
      </c>
      <c r="H88" s="1">
        <v>0.4442934782608695</v>
      </c>
      <c r="I88" s="1">
        <v>0.12108843537414966</v>
      </c>
      <c r="J88" s="1">
        <v>0.19157608695652176</v>
      </c>
      <c r="K88" s="1">
        <v>0.264945652173913</v>
      </c>
      <c r="L88" s="1">
        <v>0.0</v>
      </c>
      <c r="M88" s="1">
        <v>0.0</v>
      </c>
      <c r="N88" s="1">
        <v>0.9999999403953552</v>
      </c>
      <c r="O88" s="1">
        <v>0.9999999403953552</v>
      </c>
    </row>
    <row r="89" ht="15.75" customHeight="1">
      <c r="A89" s="1" t="s">
        <v>57</v>
      </c>
      <c r="B89" s="1" t="s">
        <v>16</v>
      </c>
      <c r="C89" s="1" t="s">
        <v>26</v>
      </c>
      <c r="D89" s="1">
        <v>0.07846316044496168</v>
      </c>
      <c r="E89" s="1">
        <v>0.7619577050209045</v>
      </c>
      <c r="F89" s="1">
        <v>0.7462158203125</v>
      </c>
      <c r="G89" s="1">
        <v>0.7540046572685242</v>
      </c>
      <c r="H89" s="1">
        <v>0.489795918367347</v>
      </c>
      <c r="I89" s="1">
        <v>0.1566757493188011</v>
      </c>
      <c r="J89" s="1">
        <v>0.2163265306122449</v>
      </c>
      <c r="K89" s="1">
        <v>0.26258503401360545</v>
      </c>
      <c r="L89" s="1">
        <v>0.0</v>
      </c>
      <c r="M89" s="1">
        <v>0.0</v>
      </c>
      <c r="N89" s="1">
        <v>0.9999999403953552</v>
      </c>
      <c r="O89" s="1">
        <v>0.9999999403953552</v>
      </c>
    </row>
    <row r="90" ht="15.75" customHeight="1">
      <c r="A90" s="1" t="s">
        <v>57</v>
      </c>
      <c r="B90" s="1" t="s">
        <v>16</v>
      </c>
      <c r="C90" s="1" t="s">
        <v>27</v>
      </c>
      <c r="D90" s="1">
        <v>0.07640176947987139</v>
      </c>
      <c r="E90" s="1">
        <v>0.7661141157150269</v>
      </c>
      <c r="F90" s="1">
        <v>0.7487077116966248</v>
      </c>
      <c r="G90" s="1">
        <v>0.7573109269142151</v>
      </c>
      <c r="H90" s="1">
        <v>0.49079754601226994</v>
      </c>
      <c r="I90" s="1">
        <v>0.1583617747440273</v>
      </c>
      <c r="J90" s="1">
        <v>0.21813224267211997</v>
      </c>
      <c r="K90" s="1">
        <v>0.2603953646898432</v>
      </c>
      <c r="L90" s="1">
        <v>0.0</v>
      </c>
      <c r="M90" s="1">
        <v>0.0</v>
      </c>
      <c r="N90" s="1">
        <v>0.9999999403953552</v>
      </c>
      <c r="O90" s="1">
        <v>0.9999999403953552</v>
      </c>
    </row>
    <row r="91" ht="15.75" customHeight="1">
      <c r="A91" s="1" t="s">
        <v>57</v>
      </c>
      <c r="B91" s="1" t="s">
        <v>16</v>
      </c>
      <c r="C91" s="1" t="s">
        <v>28</v>
      </c>
      <c r="D91" s="1">
        <v>0.07149637424063646</v>
      </c>
      <c r="E91" s="1">
        <v>0.7648155689239502</v>
      </c>
      <c r="F91" s="1">
        <v>0.7478376626968384</v>
      </c>
      <c r="G91" s="1">
        <v>0.7562313079833984</v>
      </c>
      <c r="H91" s="1">
        <v>0.4830985915492958</v>
      </c>
      <c r="I91" s="1">
        <v>0.15655853314527501</v>
      </c>
      <c r="J91" s="1">
        <v>0.21549295774647886</v>
      </c>
      <c r="K91" s="1">
        <v>0.25915492957746483</v>
      </c>
      <c r="L91" s="1">
        <v>0.0</v>
      </c>
      <c r="M91" s="1">
        <v>0.0</v>
      </c>
      <c r="N91" s="1">
        <v>0.9999999403953552</v>
      </c>
      <c r="O91" s="1">
        <v>0.9999999403953552</v>
      </c>
    </row>
    <row r="92" ht="15.75" customHeight="1">
      <c r="A92" s="1" t="s">
        <v>57</v>
      </c>
      <c r="B92" s="1" t="s">
        <v>16</v>
      </c>
      <c r="C92" s="1" t="s">
        <v>29</v>
      </c>
      <c r="D92" s="1">
        <v>0.07296654213456329</v>
      </c>
      <c r="E92" s="1">
        <v>0.7609703540802002</v>
      </c>
      <c r="F92" s="1">
        <v>0.7428248524665833</v>
      </c>
      <c r="G92" s="1">
        <v>0.7517881393432617</v>
      </c>
      <c r="H92" s="1">
        <v>0.5009658725048294</v>
      </c>
      <c r="I92" s="1">
        <v>0.1289490651192779</v>
      </c>
      <c r="J92" s="1">
        <v>0.21249195106245977</v>
      </c>
      <c r="K92" s="1">
        <v>0.2807469414037347</v>
      </c>
      <c r="L92" s="1">
        <v>0.0</v>
      </c>
      <c r="M92" s="1">
        <v>0.0</v>
      </c>
      <c r="N92" s="1">
        <v>0.9999999403953552</v>
      </c>
      <c r="O92" s="1">
        <v>0.9999999403953552</v>
      </c>
    </row>
    <row r="93" ht="15.75" customHeight="1">
      <c r="A93" s="1" t="s">
        <v>57</v>
      </c>
      <c r="B93" s="1" t="s">
        <v>16</v>
      </c>
      <c r="C93" s="1" t="s">
        <v>30</v>
      </c>
      <c r="D93" s="1">
        <v>0.05742840057512985</v>
      </c>
      <c r="E93" s="1">
        <v>0.7599655389785767</v>
      </c>
      <c r="F93" s="1">
        <v>0.7415562272071838</v>
      </c>
      <c r="G93" s="1">
        <v>0.750648021697998</v>
      </c>
      <c r="H93" s="1">
        <v>0.4638511095204008</v>
      </c>
      <c r="I93" s="1">
        <v>0.12903225806451613</v>
      </c>
      <c r="J93" s="1">
        <v>0.1875447387258411</v>
      </c>
      <c r="K93" s="1">
        <v>0.2662848962061561</v>
      </c>
      <c r="L93" s="1">
        <v>0.0</v>
      </c>
      <c r="M93" s="1">
        <v>0.0</v>
      </c>
      <c r="N93" s="1">
        <v>0.7693519592285156</v>
      </c>
      <c r="O93" s="1">
        <v>0.7693519592285156</v>
      </c>
    </row>
    <row r="94" ht="15.75" customHeight="1">
      <c r="A94" s="1" t="s">
        <v>57</v>
      </c>
      <c r="B94" s="1" t="s">
        <v>16</v>
      </c>
      <c r="C94" s="1" t="s">
        <v>31</v>
      </c>
      <c r="D94" s="1">
        <v>0.06391466027568483</v>
      </c>
      <c r="E94" s="1">
        <v>0.7717890739440918</v>
      </c>
      <c r="F94" s="1">
        <v>0.7314666509628296</v>
      </c>
      <c r="G94" s="1">
        <v>0.7510870099067688</v>
      </c>
      <c r="H94" s="1">
        <v>0.45487364620938625</v>
      </c>
      <c r="I94" s="1">
        <v>0.14027476500361533</v>
      </c>
      <c r="J94" s="1">
        <v>0.21371841155234658</v>
      </c>
      <c r="K94" s="1">
        <v>0.25415162454873647</v>
      </c>
      <c r="L94" s="1">
        <v>0.0</v>
      </c>
      <c r="M94" s="1">
        <v>0.0</v>
      </c>
      <c r="N94" s="1">
        <v>0.9999999403953552</v>
      </c>
      <c r="O94" s="1">
        <v>0.9999999403953552</v>
      </c>
    </row>
    <row r="95" ht="15.75" customHeight="1">
      <c r="A95" s="1" t="s">
        <v>57</v>
      </c>
      <c r="B95" s="1" t="s">
        <v>16</v>
      </c>
      <c r="C95" s="1" t="s">
        <v>32</v>
      </c>
      <c r="D95" s="1">
        <v>0.07264104421146891</v>
      </c>
      <c r="E95" s="1">
        <v>0.7436800003051758</v>
      </c>
      <c r="F95" s="1">
        <v>0.7297497391700745</v>
      </c>
      <c r="G95" s="1">
        <v>0.7366490364074707</v>
      </c>
      <c r="H95" s="1">
        <v>0.4940711462450593</v>
      </c>
      <c r="I95" s="1">
        <v>0.1345646437994723</v>
      </c>
      <c r="J95" s="1">
        <v>0.20553359683794467</v>
      </c>
      <c r="K95" s="1">
        <v>0.24374176548089593</v>
      </c>
      <c r="L95" s="1">
        <v>0.0</v>
      </c>
      <c r="M95" s="1">
        <v>0.0</v>
      </c>
      <c r="N95" s="1">
        <v>0.9999999403953552</v>
      </c>
      <c r="O95" s="1">
        <v>0.9999999403953552</v>
      </c>
    </row>
    <row r="96" ht="15.75" customHeight="1">
      <c r="A96" s="1" t="s">
        <v>57</v>
      </c>
      <c r="B96" s="1" t="s">
        <v>16</v>
      </c>
      <c r="C96" s="1" t="s">
        <v>33</v>
      </c>
      <c r="D96" s="1">
        <v>0.05415577486739405</v>
      </c>
      <c r="E96" s="1">
        <v>0.7436800003051758</v>
      </c>
      <c r="F96" s="1">
        <v>0.7297497391700745</v>
      </c>
      <c r="G96" s="1">
        <v>0.7366490364074707</v>
      </c>
      <c r="H96" s="1">
        <v>0.4838042729152309</v>
      </c>
      <c r="I96" s="1">
        <v>0.12698412698412698</v>
      </c>
      <c r="J96" s="1">
        <v>0.19159200551343902</v>
      </c>
      <c r="K96" s="1">
        <v>0.23018607856650586</v>
      </c>
      <c r="L96" s="1">
        <v>0.0</v>
      </c>
      <c r="M96" s="1">
        <v>0.0</v>
      </c>
      <c r="N96" s="1">
        <v>0.9999999403953552</v>
      </c>
      <c r="O96" s="1">
        <v>0.9999999403953552</v>
      </c>
    </row>
    <row r="97" ht="15.75" customHeight="1">
      <c r="A97" s="1" t="s">
        <v>57</v>
      </c>
      <c r="B97" s="1" t="s">
        <v>16</v>
      </c>
      <c r="C97" s="1" t="s">
        <v>34</v>
      </c>
      <c r="D97" s="1">
        <v>0.04804373164256967</v>
      </c>
      <c r="E97" s="1">
        <v>0.7445049285888672</v>
      </c>
      <c r="F97" s="1">
        <v>0.7309196591377258</v>
      </c>
      <c r="G97" s="1">
        <v>0.7376497983932495</v>
      </c>
      <c r="H97" s="1">
        <v>0.4701653486700216</v>
      </c>
      <c r="I97" s="1">
        <v>0.12958963282937366</v>
      </c>
      <c r="J97" s="1">
        <v>0.18260244428468728</v>
      </c>
      <c r="K97" s="1">
        <v>0.23005032350826746</v>
      </c>
      <c r="L97" s="1">
        <v>0.0</v>
      </c>
      <c r="M97" s="1">
        <v>0.0</v>
      </c>
      <c r="N97" s="1">
        <v>0.9999999403953552</v>
      </c>
      <c r="O97" s="1">
        <v>0.9999999403953552</v>
      </c>
    </row>
    <row r="98" ht="15.75" customHeight="1">
      <c r="A98" s="1" t="s">
        <v>57</v>
      </c>
      <c r="B98" s="1" t="s">
        <v>16</v>
      </c>
      <c r="C98" s="1" t="s">
        <v>35</v>
      </c>
      <c r="D98" s="1">
        <v>0.048102711590344</v>
      </c>
      <c r="E98" s="1">
        <v>0.7525497674942017</v>
      </c>
      <c r="F98" s="1">
        <v>0.73235023021698</v>
      </c>
      <c r="G98" s="1">
        <v>0.7423126101493835</v>
      </c>
      <c r="H98" s="1">
        <v>0.4328937160589605</v>
      </c>
      <c r="I98" s="1">
        <v>0.13986013986013984</v>
      </c>
      <c r="J98" s="1">
        <v>0.18463925523661756</v>
      </c>
      <c r="K98" s="1">
        <v>0.2451512800620636</v>
      </c>
      <c r="L98" s="1">
        <v>0.0</v>
      </c>
      <c r="M98" s="1">
        <v>0.0</v>
      </c>
      <c r="N98" s="1">
        <v>0.9999999403953552</v>
      </c>
      <c r="O98" s="1">
        <v>0.9999999403953552</v>
      </c>
    </row>
    <row r="99" ht="15.75" customHeight="1">
      <c r="A99" s="1" t="s">
        <v>57</v>
      </c>
      <c r="B99" s="1" t="s">
        <v>16</v>
      </c>
      <c r="C99" s="1" t="s">
        <v>36</v>
      </c>
      <c r="D99" s="1">
        <v>0.053517184781281625</v>
      </c>
      <c r="E99" s="1">
        <v>0.7533427476882935</v>
      </c>
      <c r="F99" s="1">
        <v>0.7369365692138672</v>
      </c>
      <c r="G99" s="1">
        <v>0.7450493574142456</v>
      </c>
      <c r="H99" s="1">
        <v>0.45260837619397504</v>
      </c>
      <c r="I99" s="1">
        <v>0.14422369389256806</v>
      </c>
      <c r="J99" s="1">
        <v>0.18368846436443792</v>
      </c>
      <c r="K99" s="1">
        <v>0.25716385011021303</v>
      </c>
      <c r="L99" s="1">
        <v>0.0</v>
      </c>
      <c r="M99" s="1">
        <v>0.0</v>
      </c>
      <c r="N99" s="1">
        <v>0.9999999403953552</v>
      </c>
      <c r="O99" s="1">
        <v>0.9999999403953552</v>
      </c>
    </row>
    <row r="100" ht="15.75" customHeight="1">
      <c r="A100" s="1" t="s">
        <v>57</v>
      </c>
      <c r="B100" s="1" t="s">
        <v>16</v>
      </c>
      <c r="C100" s="1" t="s">
        <v>37</v>
      </c>
      <c r="D100" s="1">
        <v>0.07197448599514916</v>
      </c>
      <c r="E100" s="1">
        <v>0.7521125674247742</v>
      </c>
      <c r="F100" s="1">
        <v>0.723625659942627</v>
      </c>
      <c r="G100" s="1">
        <v>0.7375941276550293</v>
      </c>
      <c r="H100" s="1">
        <v>0.43605870020964366</v>
      </c>
      <c r="I100" s="1">
        <v>0.12456263121063682</v>
      </c>
      <c r="J100" s="1">
        <v>0.1872816212438854</v>
      </c>
      <c r="K100" s="1">
        <v>0.24598183088749126</v>
      </c>
      <c r="L100" s="1">
        <v>0.0</v>
      </c>
      <c r="M100" s="1">
        <v>0.0</v>
      </c>
      <c r="N100" s="1">
        <v>0.7693519592285156</v>
      </c>
      <c r="O100" s="1">
        <v>0.7693519592285156</v>
      </c>
    </row>
    <row r="101" ht="15.75" customHeight="1">
      <c r="A101" s="1" t="s">
        <v>57</v>
      </c>
      <c r="B101" s="1" t="s">
        <v>16</v>
      </c>
      <c r="C101" s="1" t="s">
        <v>38</v>
      </c>
      <c r="D101" s="1">
        <v>0.0751880606466805</v>
      </c>
      <c r="E101" s="1">
        <v>0.7526096701622009</v>
      </c>
      <c r="F101" s="1">
        <v>0.7284437417984009</v>
      </c>
      <c r="G101" s="1">
        <v>0.7403295636177063</v>
      </c>
      <c r="H101" s="1">
        <v>0.5088676671214188</v>
      </c>
      <c r="I101" s="1">
        <v>0.16256830601092895</v>
      </c>
      <c r="J101" s="1">
        <v>0.20054570259208732</v>
      </c>
      <c r="K101" s="1">
        <v>0.27285129604365616</v>
      </c>
      <c r="L101" s="1">
        <v>0.0</v>
      </c>
      <c r="M101" s="1">
        <v>0.0</v>
      </c>
      <c r="N101" s="1">
        <v>0.9999999403953552</v>
      </c>
      <c r="O101" s="1">
        <v>0.9999999403953552</v>
      </c>
    </row>
    <row r="102" ht="15.75" customHeight="1">
      <c r="A102" s="1" t="s">
        <v>57</v>
      </c>
      <c r="B102" s="1" t="s">
        <v>16</v>
      </c>
      <c r="C102" s="1" t="s">
        <v>39</v>
      </c>
      <c r="D102" s="1">
        <v>0.046592331700885364</v>
      </c>
      <c r="E102" s="1">
        <v>0.7522799968719482</v>
      </c>
      <c r="F102" s="1">
        <v>0.7283065319061279</v>
      </c>
      <c r="G102" s="1">
        <v>0.7400991916656494</v>
      </c>
      <c r="H102" s="1">
        <v>0.430939226519337</v>
      </c>
      <c r="I102" s="1">
        <v>0.14387351778656127</v>
      </c>
      <c r="J102" s="1">
        <v>0.17995264404104183</v>
      </c>
      <c r="K102" s="1">
        <v>0.24782951854775062</v>
      </c>
      <c r="L102" s="1">
        <v>0.0</v>
      </c>
      <c r="M102" s="1">
        <v>0.0</v>
      </c>
      <c r="N102" s="1">
        <v>0.9999999403953552</v>
      </c>
      <c r="O102" s="1">
        <v>0.9999999403953552</v>
      </c>
    </row>
    <row r="103" ht="15.75" customHeight="1">
      <c r="A103" s="1" t="s">
        <v>57</v>
      </c>
      <c r="B103" s="1" t="s">
        <v>16</v>
      </c>
      <c r="C103" s="1" t="s">
        <v>40</v>
      </c>
      <c r="D103" s="1">
        <v>0.059448619344889764</v>
      </c>
      <c r="E103" s="1">
        <v>0.7414956092834473</v>
      </c>
      <c r="F103" s="1">
        <v>0.7429741621017456</v>
      </c>
      <c r="G103" s="1">
        <v>0.7422341704368591</v>
      </c>
      <c r="H103" s="1">
        <v>0.42993396918562</v>
      </c>
      <c r="I103" s="1">
        <v>0.13960323291697282</v>
      </c>
      <c r="J103" s="1">
        <v>0.18195157740278795</v>
      </c>
      <c r="K103" s="1">
        <v>0.2509170946441673</v>
      </c>
      <c r="L103" s="1">
        <v>0.0</v>
      </c>
      <c r="M103" s="1">
        <v>0.0</v>
      </c>
      <c r="N103" s="1">
        <v>0.9999999403953552</v>
      </c>
      <c r="O103" s="1">
        <v>0.9999999403953552</v>
      </c>
    </row>
    <row r="104" ht="15.75" customHeight="1">
      <c r="A104" s="1" t="s">
        <v>57</v>
      </c>
      <c r="B104" s="1" t="s">
        <v>16</v>
      </c>
      <c r="C104" s="1" t="s">
        <v>41</v>
      </c>
      <c r="D104" s="1">
        <v>0.021702246409105987</v>
      </c>
      <c r="E104" s="1">
        <v>0.7419450283050537</v>
      </c>
      <c r="F104" s="1">
        <v>0.7323743104934692</v>
      </c>
      <c r="G104" s="1">
        <v>0.7371285557746887</v>
      </c>
      <c r="H104" s="1">
        <v>0.3783346806790623</v>
      </c>
      <c r="I104" s="1">
        <v>0.0825910931174089</v>
      </c>
      <c r="J104" s="1">
        <v>0.17784963621665317</v>
      </c>
      <c r="K104" s="1">
        <v>0.2231204527081649</v>
      </c>
      <c r="L104" s="1">
        <v>0.7023138999938965</v>
      </c>
      <c r="M104" s="1">
        <v>0.7023138999938965</v>
      </c>
      <c r="N104" s="1">
        <v>0.7023138999938965</v>
      </c>
      <c r="O104" s="1">
        <v>0.7023138999938965</v>
      </c>
    </row>
    <row r="105" ht="15.75" customHeight="1">
      <c r="A105" s="1" t="s">
        <v>57</v>
      </c>
      <c r="B105" s="1" t="s">
        <v>16</v>
      </c>
      <c r="C105" s="1" t="s">
        <v>42</v>
      </c>
      <c r="D105" s="1">
        <v>0.034569283233308226</v>
      </c>
      <c r="E105" s="1">
        <v>0.7505068778991699</v>
      </c>
      <c r="F105" s="1">
        <v>0.7258110046386719</v>
      </c>
      <c r="G105" s="1">
        <v>0.7379523515701294</v>
      </c>
      <c r="H105" s="1">
        <v>0.40062843676355064</v>
      </c>
      <c r="I105" s="1">
        <v>0.12116443745082614</v>
      </c>
      <c r="J105" s="1">
        <v>0.18224666142969365</v>
      </c>
      <c r="K105" s="1">
        <v>0.22623723487824038</v>
      </c>
      <c r="L105" s="1">
        <v>0.0</v>
      </c>
      <c r="M105" s="1">
        <v>0.0</v>
      </c>
      <c r="N105" s="1">
        <v>0.7693519592285156</v>
      </c>
      <c r="O105" s="1">
        <v>0.7693519592285156</v>
      </c>
    </row>
    <row r="106" ht="15.75" customHeight="1">
      <c r="A106" s="1" t="s">
        <v>57</v>
      </c>
      <c r="B106" s="1" t="s">
        <v>16</v>
      </c>
      <c r="C106" s="1" t="s">
        <v>43</v>
      </c>
      <c r="D106" s="1">
        <v>0.030523359602045323</v>
      </c>
      <c r="E106" s="1">
        <v>0.7329010367393494</v>
      </c>
      <c r="F106" s="1">
        <v>0.7288939952850342</v>
      </c>
      <c r="G106" s="1">
        <v>0.73089200258255</v>
      </c>
      <c r="H106" s="1">
        <v>0.3911042944785276</v>
      </c>
      <c r="I106" s="1">
        <v>0.11213517665130568</v>
      </c>
      <c r="J106" s="1">
        <v>0.17024539877300615</v>
      </c>
      <c r="K106" s="1">
        <v>0.22852760736196318</v>
      </c>
      <c r="L106" s="1">
        <v>0.8271334767341614</v>
      </c>
      <c r="M106" s="1">
        <v>0.8271334767341614</v>
      </c>
      <c r="N106" s="1">
        <v>0.8271334767341614</v>
      </c>
      <c r="O106" s="1">
        <v>0.8271334767341614</v>
      </c>
    </row>
    <row r="107" ht="15.75" customHeight="1">
      <c r="A107" s="1" t="s">
        <v>57</v>
      </c>
      <c r="B107" s="1" t="s">
        <v>16</v>
      </c>
      <c r="C107" s="1" t="s">
        <v>44</v>
      </c>
      <c r="D107" s="1">
        <v>0.018002890996803276</v>
      </c>
      <c r="E107" s="1">
        <v>0.763245701789856</v>
      </c>
      <c r="F107" s="1">
        <v>0.7312734723091125</v>
      </c>
      <c r="G107" s="1">
        <v>0.7469176054000854</v>
      </c>
      <c r="H107" s="1">
        <v>0.3281519861830743</v>
      </c>
      <c r="I107" s="1">
        <v>0.10726643598615916</v>
      </c>
      <c r="J107" s="1">
        <v>0.14853195164075994</v>
      </c>
      <c r="K107" s="1">
        <v>0.19516407599309157</v>
      </c>
      <c r="L107" s="1">
        <v>0.0</v>
      </c>
      <c r="M107" s="1">
        <v>0.0</v>
      </c>
      <c r="N107" s="1">
        <v>0.7693519592285156</v>
      </c>
      <c r="O107" s="1">
        <v>0.7693519592285156</v>
      </c>
    </row>
    <row r="108" ht="15.75" customHeight="1">
      <c r="A108" s="1" t="s">
        <v>57</v>
      </c>
      <c r="B108" s="1" t="s">
        <v>16</v>
      </c>
      <c r="C108" s="1" t="s">
        <v>45</v>
      </c>
      <c r="D108" s="1">
        <v>0.018002890996803276</v>
      </c>
      <c r="E108" s="1">
        <v>0.763245701789856</v>
      </c>
      <c r="F108" s="1">
        <v>0.7312734723091125</v>
      </c>
      <c r="G108" s="1">
        <v>0.7469176054000854</v>
      </c>
      <c r="H108" s="1">
        <v>0.3281519861830743</v>
      </c>
      <c r="I108" s="1">
        <v>0.10726643598615916</v>
      </c>
      <c r="J108" s="1">
        <v>0.14853195164075994</v>
      </c>
      <c r="K108" s="1">
        <v>0.19516407599309157</v>
      </c>
      <c r="L108" s="1">
        <v>0.0</v>
      </c>
      <c r="M108" s="1">
        <v>0.0</v>
      </c>
      <c r="N108" s="1">
        <v>0.7693519592285156</v>
      </c>
      <c r="O108" s="1">
        <v>0.7693519592285156</v>
      </c>
    </row>
    <row r="109" ht="15.75" customHeight="1">
      <c r="A109" s="1" t="s">
        <v>57</v>
      </c>
      <c r="B109" s="1" t="s">
        <v>16</v>
      </c>
      <c r="C109" s="1" t="s">
        <v>46</v>
      </c>
      <c r="D109" s="1">
        <v>0.02053894991158001</v>
      </c>
      <c r="E109" s="1">
        <v>0.7468331456184387</v>
      </c>
      <c r="F109" s="1">
        <v>0.7222006320953369</v>
      </c>
      <c r="G109" s="1">
        <v>0.7343104481697083</v>
      </c>
      <c r="H109" s="1">
        <v>0.3598673300165838</v>
      </c>
      <c r="I109" s="1">
        <v>0.10299003322259136</v>
      </c>
      <c r="J109" s="1">
        <v>0.1691542288557214</v>
      </c>
      <c r="K109" s="1">
        <v>0.22388059701492535</v>
      </c>
      <c r="L109" s="1">
        <v>0.0</v>
      </c>
      <c r="M109" s="1">
        <v>0.0</v>
      </c>
      <c r="N109" s="1">
        <v>0.7693519592285156</v>
      </c>
      <c r="O109" s="1">
        <v>0.7693519592285156</v>
      </c>
    </row>
    <row r="110" ht="15.75" customHeight="1">
      <c r="A110" s="1" t="s">
        <v>57</v>
      </c>
      <c r="B110" s="1" t="s">
        <v>16</v>
      </c>
      <c r="C110" s="1" t="s">
        <v>47</v>
      </c>
      <c r="D110" s="1">
        <v>0.06080253054055</v>
      </c>
      <c r="E110" s="1">
        <v>0.7512557506561279</v>
      </c>
      <c r="F110" s="1">
        <v>0.7407039403915405</v>
      </c>
      <c r="G110" s="1">
        <v>0.7459425330162048</v>
      </c>
      <c r="H110" s="1">
        <v>0.41517857142857145</v>
      </c>
      <c r="I110" s="1">
        <v>0.10879284649776452</v>
      </c>
      <c r="J110" s="1">
        <v>0.19196428571428573</v>
      </c>
      <c r="K110" s="1">
        <v>0.255952380952381</v>
      </c>
      <c r="L110" s="1">
        <v>0.0</v>
      </c>
      <c r="M110" s="1">
        <v>0.0</v>
      </c>
      <c r="N110" s="1">
        <v>0.9999999403953552</v>
      </c>
      <c r="O110" s="1">
        <v>0.9999999403953552</v>
      </c>
    </row>
    <row r="111" ht="15.75" customHeight="1">
      <c r="A111" s="1" t="s">
        <v>57</v>
      </c>
      <c r="B111" s="1" t="s">
        <v>16</v>
      </c>
      <c r="C111" s="1" t="s">
        <v>48</v>
      </c>
      <c r="D111" s="1">
        <v>0.05447036742109632</v>
      </c>
      <c r="E111" s="1">
        <v>0.7528306245803833</v>
      </c>
      <c r="F111" s="1">
        <v>0.7436785697937012</v>
      </c>
      <c r="G111" s="1">
        <v>0.7482265830039978</v>
      </c>
      <c r="H111" s="1">
        <v>0.39692307692307693</v>
      </c>
      <c r="I111" s="1">
        <v>0.10939907550077041</v>
      </c>
      <c r="J111" s="1">
        <v>0.17538461538461536</v>
      </c>
      <c r="K111" s="1">
        <v>0.24461538461538462</v>
      </c>
      <c r="L111" s="1">
        <v>0.7023138999938965</v>
      </c>
      <c r="M111" s="1">
        <v>0.7023138999938965</v>
      </c>
      <c r="N111" s="1">
        <v>0.7023138999938965</v>
      </c>
      <c r="O111" s="1">
        <v>0.7023138999938965</v>
      </c>
    </row>
    <row r="112" ht="15.75" customHeight="1">
      <c r="A112" s="1" t="s">
        <v>57</v>
      </c>
      <c r="B112" s="1" t="s">
        <v>16</v>
      </c>
      <c r="C112" s="1" t="s">
        <v>49</v>
      </c>
      <c r="D112" s="1">
        <v>0.04261617895215075</v>
      </c>
      <c r="E112" s="1">
        <v>0.7582002282142639</v>
      </c>
      <c r="F112" s="1">
        <v>0.7454233169555664</v>
      </c>
      <c r="G112" s="1">
        <v>0.7517575025558472</v>
      </c>
      <c r="H112" s="1">
        <v>0.3956386292834891</v>
      </c>
      <c r="I112" s="1">
        <v>0.10452418096723869</v>
      </c>
      <c r="J112" s="1">
        <v>0.17757009345794392</v>
      </c>
      <c r="K112" s="1">
        <v>0.235202492211838</v>
      </c>
      <c r="L112" s="1">
        <v>0.0</v>
      </c>
      <c r="M112" s="1">
        <v>0.0</v>
      </c>
      <c r="N112" s="1">
        <v>0.9999999403953552</v>
      </c>
      <c r="O112" s="1">
        <v>0.9999999403953552</v>
      </c>
    </row>
    <row r="113" ht="15.75" customHeight="1">
      <c r="A113" s="1" t="s">
        <v>57</v>
      </c>
      <c r="B113" s="1" t="s">
        <v>16</v>
      </c>
      <c r="C113" s="1" t="s">
        <v>50</v>
      </c>
      <c r="D113" s="1">
        <v>0.0161658676772301</v>
      </c>
      <c r="E113" s="1">
        <v>0.6578599214553833</v>
      </c>
      <c r="F113" s="1">
        <v>0.6455150842666626</v>
      </c>
      <c r="G113" s="1">
        <v>0.6516290307044983</v>
      </c>
      <c r="H113" s="1">
        <v>0.3168831168831169</v>
      </c>
      <c r="I113" s="1">
        <v>0.07632263660017345</v>
      </c>
      <c r="J113" s="1">
        <v>0.16623376623376623</v>
      </c>
      <c r="K113" s="1">
        <v>0.17835497835497835</v>
      </c>
      <c r="L113" s="1">
        <v>0.0</v>
      </c>
      <c r="M113" s="1">
        <v>0.0</v>
      </c>
      <c r="N113" s="1">
        <v>0.8277580142021179</v>
      </c>
      <c r="O113" s="1">
        <v>0.8277580142021179</v>
      </c>
    </row>
    <row r="114" ht="15.75" customHeight="1">
      <c r="A114" s="1" t="s">
        <v>57</v>
      </c>
      <c r="B114" s="1" t="s">
        <v>16</v>
      </c>
      <c r="C114" s="1" t="s">
        <v>51</v>
      </c>
      <c r="D114" s="1">
        <v>0.0161658676772301</v>
      </c>
      <c r="E114" s="1">
        <v>0.6578599214553833</v>
      </c>
      <c r="F114" s="1">
        <v>0.6455150842666626</v>
      </c>
      <c r="G114" s="1">
        <v>0.6516290307044983</v>
      </c>
      <c r="H114" s="1">
        <v>0.3168831168831169</v>
      </c>
      <c r="I114" s="1">
        <v>0.07632263660017345</v>
      </c>
      <c r="J114" s="1">
        <v>0.16623376623376623</v>
      </c>
      <c r="K114" s="1">
        <v>0.17835497835497835</v>
      </c>
      <c r="L114" s="1">
        <v>0.0</v>
      </c>
      <c r="M114" s="1">
        <v>0.0</v>
      </c>
      <c r="N114" s="1">
        <v>0.8277580142021179</v>
      </c>
      <c r="O114" s="1">
        <v>0.8277580142021179</v>
      </c>
    </row>
    <row r="115" ht="15.75" customHeight="1">
      <c r="A115" s="1" t="s">
        <v>57</v>
      </c>
      <c r="B115" s="1" t="s">
        <v>16</v>
      </c>
      <c r="C115" s="1" t="s">
        <v>52</v>
      </c>
      <c r="D115" s="1">
        <v>0.02899039689424811</v>
      </c>
      <c r="E115" s="1">
        <v>0.7465027570724487</v>
      </c>
      <c r="F115" s="1">
        <v>0.7204043865203857</v>
      </c>
      <c r="G115" s="1">
        <v>0.7332214117050171</v>
      </c>
      <c r="H115" s="1">
        <v>0.35655058043117743</v>
      </c>
      <c r="I115" s="1">
        <v>0.10299003322259136</v>
      </c>
      <c r="J115" s="1">
        <v>0.1691542288557214</v>
      </c>
      <c r="K115" s="1">
        <v>0.24378109452736316</v>
      </c>
      <c r="L115" s="1">
        <v>0.0</v>
      </c>
      <c r="M115" s="1">
        <v>0.0</v>
      </c>
      <c r="N115" s="1">
        <v>0.8277580142021179</v>
      </c>
      <c r="O115" s="1">
        <v>0.8277580142021179</v>
      </c>
    </row>
    <row r="116" ht="15.75" customHeight="1">
      <c r="A116" s="1" t="s">
        <v>57</v>
      </c>
      <c r="B116" s="1" t="s">
        <v>16</v>
      </c>
      <c r="C116" s="1" t="s">
        <v>53</v>
      </c>
      <c r="D116" s="1">
        <v>0.06366114809806997</v>
      </c>
      <c r="E116" s="1">
        <v>0.7653224468231201</v>
      </c>
      <c r="F116" s="1">
        <v>0.7567667365074158</v>
      </c>
      <c r="G116" s="1">
        <v>0.7610205411911011</v>
      </c>
      <c r="H116" s="1">
        <v>0.49785407725321895</v>
      </c>
      <c r="I116" s="1">
        <v>0.15472779369627504</v>
      </c>
      <c r="J116" s="1">
        <v>0.1959942775393419</v>
      </c>
      <c r="K116" s="1">
        <v>0.28469241773962806</v>
      </c>
      <c r="L116" s="1">
        <v>0.0</v>
      </c>
      <c r="M116" s="1">
        <v>0.0</v>
      </c>
      <c r="N116" s="1">
        <v>0.9999999403953552</v>
      </c>
      <c r="O116" s="1">
        <v>0.9999999403953552</v>
      </c>
    </row>
    <row r="117" ht="15.75" customHeight="1">
      <c r="A117" s="1" t="s">
        <v>57</v>
      </c>
      <c r="B117" s="1" t="s">
        <v>16</v>
      </c>
      <c r="C117" s="1" t="s">
        <v>54</v>
      </c>
      <c r="D117" s="1">
        <v>0.09862419683518693</v>
      </c>
      <c r="E117" s="1">
        <v>0.7556792497634888</v>
      </c>
      <c r="F117" s="1">
        <v>0.7525119185447693</v>
      </c>
      <c r="G117" s="1">
        <v>0.754092276096344</v>
      </c>
      <c r="H117" s="1">
        <v>0.528735632183908</v>
      </c>
      <c r="I117" s="1">
        <v>0.159846547314578</v>
      </c>
      <c r="J117" s="1">
        <v>0.19795657726692212</v>
      </c>
      <c r="K117" s="1">
        <v>0.2937420178799489</v>
      </c>
      <c r="L117" s="1">
        <v>0.0</v>
      </c>
      <c r="M117" s="1">
        <v>0.0</v>
      </c>
      <c r="N117" s="1">
        <v>0.9999999403953552</v>
      </c>
      <c r="O117" s="1">
        <v>0.9999999403953552</v>
      </c>
    </row>
    <row r="118" ht="15.75" customHeight="1">
      <c r="A118" s="1" t="s">
        <v>57</v>
      </c>
      <c r="B118" s="1" t="s">
        <v>16</v>
      </c>
      <c r="C118" s="1" t="s">
        <v>55</v>
      </c>
      <c r="D118" s="1">
        <v>0.0858054420657966</v>
      </c>
      <c r="E118" s="1">
        <v>0.7639603614807129</v>
      </c>
      <c r="F118" s="1">
        <v>0.7532212734222412</v>
      </c>
      <c r="G118" s="1">
        <v>0.7585527896881104</v>
      </c>
      <c r="H118" s="1">
        <v>0.5206779661016949</v>
      </c>
      <c r="I118" s="1">
        <v>0.16429056347589954</v>
      </c>
      <c r="J118" s="1">
        <v>0.21152542372881358</v>
      </c>
      <c r="K118" s="1">
        <v>0.2806779661016949</v>
      </c>
      <c r="L118" s="1">
        <v>0.0</v>
      </c>
      <c r="M118" s="1">
        <v>0.0</v>
      </c>
      <c r="N118" s="1">
        <v>0.9999999403953552</v>
      </c>
      <c r="O118" s="1">
        <v>0.9999999403953552</v>
      </c>
    </row>
    <row r="119" ht="15.75" customHeight="1">
      <c r="A119" s="1" t="s">
        <v>58</v>
      </c>
      <c r="B119" s="1" t="s">
        <v>16</v>
      </c>
      <c r="C119" s="1" t="s">
        <v>17</v>
      </c>
      <c r="D119" s="1">
        <v>0.05534937492436973</v>
      </c>
      <c r="E119" s="1">
        <v>0.7377815246582031</v>
      </c>
      <c r="F119" s="1">
        <v>0.7358982563018799</v>
      </c>
      <c r="G119" s="1">
        <v>0.736838698387146</v>
      </c>
      <c r="H119" s="1">
        <v>0.45812534664448146</v>
      </c>
      <c r="I119" s="1">
        <v>0.12215435868961688</v>
      </c>
      <c r="J119" s="1">
        <v>0.1808097615085968</v>
      </c>
      <c r="K119" s="1">
        <v>0.23849140321686077</v>
      </c>
      <c r="L119" s="1">
        <v>0.0</v>
      </c>
      <c r="M119" s="1">
        <v>0.0</v>
      </c>
      <c r="N119" s="1">
        <v>0.9999999403953552</v>
      </c>
      <c r="O119" s="1">
        <v>0.9999999403953552</v>
      </c>
    </row>
    <row r="120" ht="15.75" customHeight="1">
      <c r="A120" s="1" t="s">
        <v>58</v>
      </c>
      <c r="B120" s="1" t="s">
        <v>16</v>
      </c>
      <c r="C120" s="1" t="s">
        <v>18</v>
      </c>
      <c r="D120" s="1">
        <v>0.054485461767391864</v>
      </c>
      <c r="E120" s="1">
        <v>0.7403286695480347</v>
      </c>
      <c r="F120" s="1">
        <v>0.7397989630699158</v>
      </c>
      <c r="G120" s="1">
        <v>0.7400637269020081</v>
      </c>
      <c r="H120" s="1">
        <v>0.4593248478140565</v>
      </c>
      <c r="I120" s="1">
        <v>0.11745152354570638</v>
      </c>
      <c r="J120" s="1">
        <v>0.18483674598782512</v>
      </c>
      <c r="K120" s="1">
        <v>0.2490315439955728</v>
      </c>
      <c r="L120" s="1">
        <v>0.0</v>
      </c>
      <c r="M120" s="1">
        <v>0.0</v>
      </c>
      <c r="N120" s="1">
        <v>0.9999999403953552</v>
      </c>
      <c r="O120" s="1">
        <v>0.9999999403953552</v>
      </c>
    </row>
    <row r="121" ht="15.75" customHeight="1">
      <c r="A121" s="1" t="s">
        <v>58</v>
      </c>
      <c r="B121" s="1" t="s">
        <v>16</v>
      </c>
      <c r="C121" s="1" t="s">
        <v>19</v>
      </c>
      <c r="D121" s="1">
        <v>0.05441640871623879</v>
      </c>
      <c r="E121" s="1">
        <v>0.7367940545082092</v>
      </c>
      <c r="F121" s="1">
        <v>0.7311467528343201</v>
      </c>
      <c r="G121" s="1">
        <v>0.7339595556259155</v>
      </c>
      <c r="H121" s="1">
        <v>0.4350949204720369</v>
      </c>
      <c r="I121" s="1">
        <v>0.11504879301489469</v>
      </c>
      <c r="J121" s="1">
        <v>0.1806054386865059</v>
      </c>
      <c r="K121" s="1">
        <v>0.2483324781939456</v>
      </c>
      <c r="L121" s="1">
        <v>0.0</v>
      </c>
      <c r="M121" s="1">
        <v>0.0</v>
      </c>
      <c r="N121" s="1">
        <v>0.9999999403953552</v>
      </c>
      <c r="O121" s="1">
        <v>0.9999999403953552</v>
      </c>
    </row>
    <row r="122" ht="15.75" customHeight="1">
      <c r="A122" s="1" t="s">
        <v>58</v>
      </c>
      <c r="B122" s="1" t="s">
        <v>16</v>
      </c>
      <c r="C122" s="1" t="s">
        <v>20</v>
      </c>
      <c r="D122" s="1">
        <v>0.03984220399088658</v>
      </c>
      <c r="E122" s="1">
        <v>0.7135390043258667</v>
      </c>
      <c r="F122" s="1">
        <v>0.7130484580993652</v>
      </c>
      <c r="G122" s="1">
        <v>0.7132936120033264</v>
      </c>
      <c r="H122" s="1">
        <v>0.4507628294036061</v>
      </c>
      <c r="I122" s="1">
        <v>0.10833333333333334</v>
      </c>
      <c r="J122" s="1">
        <v>0.18030513176144244</v>
      </c>
      <c r="K122" s="1">
        <v>0.24271844660194172</v>
      </c>
      <c r="L122" s="1">
        <v>0.0</v>
      </c>
      <c r="M122" s="1">
        <v>0.0</v>
      </c>
      <c r="N122" s="1">
        <v>0.9999999403953552</v>
      </c>
      <c r="O122" s="1">
        <v>0.9999999403953552</v>
      </c>
    </row>
    <row r="123" ht="15.75" customHeight="1">
      <c r="A123" s="1" t="s">
        <v>58</v>
      </c>
      <c r="B123" s="1" t="s">
        <v>16</v>
      </c>
      <c r="C123" s="1" t="s">
        <v>21</v>
      </c>
      <c r="D123" s="1">
        <v>0.05635812929716088</v>
      </c>
      <c r="E123" s="1">
        <v>0.7234007716178894</v>
      </c>
      <c r="F123" s="1">
        <v>0.7280128002166748</v>
      </c>
      <c r="G123" s="1">
        <v>0.7256994247436523</v>
      </c>
      <c r="H123" s="1">
        <v>0.4598155467720685</v>
      </c>
      <c r="I123" s="1">
        <v>0.11741424802110817</v>
      </c>
      <c r="J123" s="1">
        <v>0.1857707509881423</v>
      </c>
      <c r="K123" s="1">
        <v>0.2793148880105402</v>
      </c>
      <c r="L123" s="1">
        <v>0.0</v>
      </c>
      <c r="M123" s="1">
        <v>0.0</v>
      </c>
      <c r="N123" s="1">
        <v>0.9999999403953552</v>
      </c>
      <c r="O123" s="1">
        <v>0.9999999403953552</v>
      </c>
    </row>
    <row r="124" ht="15.75" customHeight="1">
      <c r="A124" s="1" t="s">
        <v>58</v>
      </c>
      <c r="B124" s="1" t="s">
        <v>16</v>
      </c>
      <c r="C124" s="1" t="s">
        <v>22</v>
      </c>
      <c r="D124" s="1">
        <v>0.05323714316420221</v>
      </c>
      <c r="E124" s="1">
        <v>0.7305090427398682</v>
      </c>
      <c r="F124" s="1">
        <v>0.7273263931274414</v>
      </c>
      <c r="G124" s="1">
        <v>0.728914201259613</v>
      </c>
      <c r="H124" s="1">
        <v>0.4569083447332422</v>
      </c>
      <c r="I124" s="1">
        <v>0.11232876712328768</v>
      </c>
      <c r="J124" s="1">
        <v>0.18331053351573187</v>
      </c>
      <c r="K124" s="1">
        <v>0.2722298221614227</v>
      </c>
      <c r="L124" s="1">
        <v>0.0</v>
      </c>
      <c r="M124" s="1">
        <v>0.0</v>
      </c>
      <c r="N124" s="1">
        <v>0.9999999403953552</v>
      </c>
      <c r="O124" s="1">
        <v>0.9999999403953552</v>
      </c>
    </row>
    <row r="125" ht="15.75" customHeight="1">
      <c r="A125" s="1" t="s">
        <v>58</v>
      </c>
      <c r="B125" s="1" t="s">
        <v>16</v>
      </c>
      <c r="C125" s="1" t="s">
        <v>23</v>
      </c>
      <c r="D125" s="1">
        <v>0.05048029758454118</v>
      </c>
      <c r="E125" s="1">
        <v>0.7354031205177307</v>
      </c>
      <c r="F125" s="1">
        <v>0.7286776304244995</v>
      </c>
      <c r="G125" s="1">
        <v>0.7320249080657959</v>
      </c>
      <c r="H125" s="1">
        <v>0.4647058823529412</v>
      </c>
      <c r="I125" s="1">
        <v>0.11340206185567012</v>
      </c>
      <c r="J125" s="1">
        <v>0.19117647058823528</v>
      </c>
      <c r="K125" s="1">
        <v>0.2691176470588235</v>
      </c>
      <c r="L125" s="1">
        <v>0.0</v>
      </c>
      <c r="M125" s="1">
        <v>0.0</v>
      </c>
      <c r="N125" s="1">
        <v>0.9999999403953552</v>
      </c>
      <c r="O125" s="1">
        <v>0.9999999403953552</v>
      </c>
    </row>
    <row r="126" ht="15.75" customHeight="1">
      <c r="A126" s="1" t="s">
        <v>58</v>
      </c>
      <c r="B126" s="1" t="s">
        <v>16</v>
      </c>
      <c r="C126" s="1" t="s">
        <v>24</v>
      </c>
      <c r="D126" s="1">
        <v>0.04645175456005988</v>
      </c>
      <c r="E126" s="1">
        <v>0.7384192943572998</v>
      </c>
      <c r="F126" s="1">
        <v>0.7295912504196167</v>
      </c>
      <c r="G126" s="1">
        <v>0.7339787483215332</v>
      </c>
      <c r="H126" s="1">
        <v>0.4573125463994061</v>
      </c>
      <c r="I126" s="1">
        <v>0.11152416356877323</v>
      </c>
      <c r="J126" s="1">
        <v>0.19005196733481813</v>
      </c>
      <c r="K126" s="1">
        <v>0.26726057906458794</v>
      </c>
      <c r="L126" s="1">
        <v>0.0</v>
      </c>
      <c r="M126" s="1">
        <v>0.0</v>
      </c>
      <c r="N126" s="1">
        <v>0.9999999403953552</v>
      </c>
      <c r="O126" s="1">
        <v>0.9999999403953552</v>
      </c>
    </row>
    <row r="127" ht="15.75" customHeight="1">
      <c r="A127" s="1" t="s">
        <v>58</v>
      </c>
      <c r="B127" s="1" t="s">
        <v>16</v>
      </c>
      <c r="C127" s="1" t="s">
        <v>25</v>
      </c>
      <c r="D127" s="1">
        <v>0.04645175456005988</v>
      </c>
      <c r="E127" s="1">
        <v>0.7384192943572998</v>
      </c>
      <c r="F127" s="1">
        <v>0.7295912504196167</v>
      </c>
      <c r="G127" s="1">
        <v>0.7339787483215332</v>
      </c>
      <c r="H127" s="1">
        <v>0.4573125463994061</v>
      </c>
      <c r="I127" s="1">
        <v>0.11152416356877323</v>
      </c>
      <c r="J127" s="1">
        <v>0.19005196733481813</v>
      </c>
      <c r="K127" s="1">
        <v>0.26726057906458794</v>
      </c>
      <c r="L127" s="1">
        <v>0.0</v>
      </c>
      <c r="M127" s="1">
        <v>0.0</v>
      </c>
      <c r="N127" s="1">
        <v>0.9999999403953552</v>
      </c>
      <c r="O127" s="1">
        <v>0.9999999403953552</v>
      </c>
    </row>
    <row r="128" ht="15.75" customHeight="1">
      <c r="A128" s="1" t="s">
        <v>58</v>
      </c>
      <c r="B128" s="1" t="s">
        <v>16</v>
      </c>
      <c r="C128" s="1" t="s">
        <v>26</v>
      </c>
      <c r="D128" s="1">
        <v>0.05552656318798099</v>
      </c>
      <c r="E128" s="1">
        <v>0.7360329627990723</v>
      </c>
      <c r="F128" s="1">
        <v>0.7295037508010864</v>
      </c>
      <c r="G128" s="1">
        <v>0.7327538132667542</v>
      </c>
      <c r="H128" s="1">
        <v>0.46988847583643123</v>
      </c>
      <c r="I128" s="1">
        <v>0.11913626209977661</v>
      </c>
      <c r="J128" s="1">
        <v>0.2037174721189591</v>
      </c>
      <c r="K128" s="1">
        <v>0.26765799256505574</v>
      </c>
      <c r="L128" s="1">
        <v>0.0</v>
      </c>
      <c r="M128" s="1">
        <v>0.0</v>
      </c>
      <c r="N128" s="1">
        <v>0.9999999403953552</v>
      </c>
      <c r="O128" s="1">
        <v>0.9999999403953552</v>
      </c>
    </row>
    <row r="129" ht="15.75" customHeight="1">
      <c r="A129" s="1" t="s">
        <v>58</v>
      </c>
      <c r="B129" s="1" t="s">
        <v>16</v>
      </c>
      <c r="C129" s="1" t="s">
        <v>27</v>
      </c>
      <c r="D129" s="1">
        <v>0.05667833210013334</v>
      </c>
      <c r="E129" s="1">
        <v>0.7407324314117432</v>
      </c>
      <c r="F129" s="1">
        <v>0.7318458557128906</v>
      </c>
      <c r="G129" s="1">
        <v>0.7362623810768127</v>
      </c>
      <c r="H129" s="1">
        <v>0.47391952309985097</v>
      </c>
      <c r="I129" s="1">
        <v>0.12089552238805971</v>
      </c>
      <c r="J129" s="1">
        <v>0.21013412816691507</v>
      </c>
      <c r="K129" s="1">
        <v>0.26825633383010433</v>
      </c>
      <c r="L129" s="1">
        <v>0.0</v>
      </c>
      <c r="M129" s="1">
        <v>0.0</v>
      </c>
      <c r="N129" s="1">
        <v>0.9999999403953552</v>
      </c>
      <c r="O129" s="1">
        <v>0.9999999403953552</v>
      </c>
    </row>
    <row r="130" ht="15.75" customHeight="1">
      <c r="A130" s="1" t="s">
        <v>58</v>
      </c>
      <c r="B130" s="1" t="s">
        <v>16</v>
      </c>
      <c r="C130" s="1" t="s">
        <v>28</v>
      </c>
      <c r="D130" s="1">
        <v>0.05412682161184386</v>
      </c>
      <c r="E130" s="1">
        <v>0.7399179935455322</v>
      </c>
      <c r="F130" s="1">
        <v>0.731739342212677</v>
      </c>
      <c r="G130" s="1">
        <v>0.7358059883117676</v>
      </c>
      <c r="H130" s="1">
        <v>0.46795366795366794</v>
      </c>
      <c r="I130" s="1">
        <v>0.11910286156225831</v>
      </c>
      <c r="J130" s="1">
        <v>0.21158301158301157</v>
      </c>
      <c r="K130" s="1">
        <v>0.27335907335907333</v>
      </c>
      <c r="L130" s="1">
        <v>0.0</v>
      </c>
      <c r="M130" s="1">
        <v>0.0</v>
      </c>
      <c r="N130" s="1">
        <v>0.9999999403953552</v>
      </c>
      <c r="O130" s="1">
        <v>0.9999999403953552</v>
      </c>
    </row>
    <row r="131" ht="15.75" customHeight="1">
      <c r="A131" s="1" t="s">
        <v>58</v>
      </c>
      <c r="B131" s="1" t="s">
        <v>16</v>
      </c>
      <c r="C131" s="1" t="s">
        <v>29</v>
      </c>
      <c r="D131" s="1">
        <v>0.06187351217933241</v>
      </c>
      <c r="E131" s="1">
        <v>0.7361167669296265</v>
      </c>
      <c r="F131" s="1">
        <v>0.7280188798904419</v>
      </c>
      <c r="G131" s="1">
        <v>0.7320454120635986</v>
      </c>
      <c r="H131" s="1">
        <v>0.46078431372549017</v>
      </c>
      <c r="I131" s="1">
        <v>0.11921458625525946</v>
      </c>
      <c r="J131" s="1">
        <v>0.18907563025210083</v>
      </c>
      <c r="K131" s="1">
        <v>0.26330532212885155</v>
      </c>
      <c r="L131" s="1">
        <v>0.0</v>
      </c>
      <c r="M131" s="1">
        <v>0.0</v>
      </c>
      <c r="N131" s="1">
        <v>0.9999999403953552</v>
      </c>
      <c r="O131" s="1">
        <v>0.9999999403953552</v>
      </c>
    </row>
    <row r="132" ht="15.75" customHeight="1">
      <c r="A132" s="1" t="s">
        <v>58</v>
      </c>
      <c r="B132" s="1" t="s">
        <v>16</v>
      </c>
      <c r="C132" s="1" t="s">
        <v>30</v>
      </c>
      <c r="D132" s="1">
        <v>0.05825608684513655</v>
      </c>
      <c r="E132" s="1">
        <v>0.7358219027519226</v>
      </c>
      <c r="F132" s="1">
        <v>0.7272068858146667</v>
      </c>
      <c r="G132" s="1">
        <v>0.7314890027046204</v>
      </c>
      <c r="H132" s="1">
        <v>0.45597484276729566</v>
      </c>
      <c r="I132" s="1">
        <v>0.12440944881889762</v>
      </c>
      <c r="J132" s="1">
        <v>0.190251572327044</v>
      </c>
      <c r="K132" s="1">
        <v>0.25157232704402516</v>
      </c>
      <c r="L132" s="1">
        <v>0.0</v>
      </c>
      <c r="M132" s="1">
        <v>0.0</v>
      </c>
      <c r="N132" s="1">
        <v>0.7693519592285156</v>
      </c>
      <c r="O132" s="1">
        <v>0.7693519592285156</v>
      </c>
    </row>
    <row r="133" ht="15.75" customHeight="1">
      <c r="A133" s="1" t="s">
        <v>58</v>
      </c>
      <c r="B133" s="1" t="s">
        <v>16</v>
      </c>
      <c r="C133" s="1" t="s">
        <v>31</v>
      </c>
      <c r="D133" s="1">
        <v>0.06355853791508873</v>
      </c>
      <c r="E133" s="1">
        <v>0.7458691000938416</v>
      </c>
      <c r="F133" s="1">
        <v>0.7197973132133484</v>
      </c>
      <c r="G133" s="1">
        <v>0.7326013445854187</v>
      </c>
      <c r="H133" s="1">
        <v>0.426984126984127</v>
      </c>
      <c r="I133" s="1">
        <v>0.12082670906200318</v>
      </c>
      <c r="J133" s="1">
        <v>0.18888888888888888</v>
      </c>
      <c r="K133" s="1">
        <v>0.20634920634920637</v>
      </c>
      <c r="L133" s="1">
        <v>0.0</v>
      </c>
      <c r="M133" s="1">
        <v>0.0</v>
      </c>
      <c r="N133" s="1">
        <v>0.9999999403953552</v>
      </c>
      <c r="O133" s="1">
        <v>0.9999999403953552</v>
      </c>
    </row>
    <row r="134" ht="15.75" customHeight="1">
      <c r="A134" s="1" t="s">
        <v>58</v>
      </c>
      <c r="B134" s="1" t="s">
        <v>16</v>
      </c>
      <c r="C134" s="1" t="s">
        <v>32</v>
      </c>
      <c r="D134" s="1">
        <v>0.04073393334332752</v>
      </c>
      <c r="E134" s="1">
        <v>0.7246467471122742</v>
      </c>
      <c r="F134" s="1">
        <v>0.7147942185401917</v>
      </c>
      <c r="G134" s="1">
        <v>0.71968674659729</v>
      </c>
      <c r="H134" s="1">
        <v>0.45369705671213206</v>
      </c>
      <c r="I134" s="1">
        <v>0.10352264557872036</v>
      </c>
      <c r="J134" s="1">
        <v>0.19095477386934673</v>
      </c>
      <c r="K134" s="1">
        <v>0.2613065326633166</v>
      </c>
      <c r="L134" s="1">
        <v>0.0</v>
      </c>
      <c r="M134" s="1">
        <v>0.0</v>
      </c>
      <c r="N134" s="1">
        <v>0.9999999403953552</v>
      </c>
      <c r="O134" s="1">
        <v>0.9999999403953552</v>
      </c>
    </row>
    <row r="135" ht="15.75" customHeight="1">
      <c r="A135" s="1" t="s">
        <v>58</v>
      </c>
      <c r="B135" s="1" t="s">
        <v>16</v>
      </c>
      <c r="C135" s="1" t="s">
        <v>33</v>
      </c>
      <c r="D135" s="1">
        <v>0.039075843916222555</v>
      </c>
      <c r="E135" s="1">
        <v>0.7246467471122742</v>
      </c>
      <c r="F135" s="1">
        <v>0.7147942185401917</v>
      </c>
      <c r="G135" s="1">
        <v>0.71968674659729</v>
      </c>
      <c r="H135" s="1">
        <v>0.45248868778280543</v>
      </c>
      <c r="I135" s="1">
        <v>0.10574018126888217</v>
      </c>
      <c r="J135" s="1">
        <v>0.1885369532428356</v>
      </c>
      <c r="K135" s="1">
        <v>0.25641025641025644</v>
      </c>
      <c r="L135" s="1">
        <v>0.0</v>
      </c>
      <c r="M135" s="1">
        <v>0.0</v>
      </c>
      <c r="N135" s="1">
        <v>0.9999999403953552</v>
      </c>
      <c r="O135" s="1">
        <v>0.9999999403953552</v>
      </c>
    </row>
    <row r="136" ht="15.75" customHeight="1">
      <c r="A136" s="1" t="s">
        <v>58</v>
      </c>
      <c r="B136" s="1" t="s">
        <v>16</v>
      </c>
      <c r="C136" s="1" t="s">
        <v>34</v>
      </c>
      <c r="D136" s="1">
        <v>0.03254742230728028</v>
      </c>
      <c r="E136" s="1">
        <v>0.7278452515602112</v>
      </c>
      <c r="F136" s="1">
        <v>0.7156917452812195</v>
      </c>
      <c r="G136" s="1">
        <v>0.7217172980308533</v>
      </c>
      <c r="H136" s="1">
        <v>0.44075829383886256</v>
      </c>
      <c r="I136" s="1">
        <v>0.10126582278481013</v>
      </c>
      <c r="J136" s="1">
        <v>0.1879936808846761</v>
      </c>
      <c r="K136" s="1">
        <v>0.24328593996840442</v>
      </c>
      <c r="L136" s="1">
        <v>0.0</v>
      </c>
      <c r="M136" s="1">
        <v>0.0</v>
      </c>
      <c r="N136" s="1">
        <v>0.9999999403953552</v>
      </c>
      <c r="O136" s="1">
        <v>0.9999999403953552</v>
      </c>
    </row>
    <row r="137" ht="15.75" customHeight="1">
      <c r="A137" s="1" t="s">
        <v>58</v>
      </c>
      <c r="B137" s="1" t="s">
        <v>16</v>
      </c>
      <c r="C137" s="1" t="s">
        <v>35</v>
      </c>
      <c r="D137" s="1">
        <v>0.025680666390988174</v>
      </c>
      <c r="E137" s="1">
        <v>0.7410222887992859</v>
      </c>
      <c r="F137" s="1">
        <v>0.728034496307373</v>
      </c>
      <c r="G137" s="1">
        <v>0.7344709634780884</v>
      </c>
      <c r="H137" s="1">
        <v>0.43298969072164945</v>
      </c>
      <c r="I137" s="1">
        <v>0.1135972461273666</v>
      </c>
      <c r="J137" s="1">
        <v>0.17010309278350516</v>
      </c>
      <c r="K137" s="1">
        <v>0.24054982817869414</v>
      </c>
      <c r="L137" s="1">
        <v>0.0</v>
      </c>
      <c r="M137" s="1">
        <v>0.0</v>
      </c>
      <c r="N137" s="1">
        <v>0.9999999403953552</v>
      </c>
      <c r="O137" s="1">
        <v>0.9999999403953552</v>
      </c>
    </row>
    <row r="138" ht="15.75" customHeight="1">
      <c r="A138" s="1" t="s">
        <v>58</v>
      </c>
      <c r="B138" s="1" t="s">
        <v>16</v>
      </c>
      <c r="C138" s="1" t="s">
        <v>36</v>
      </c>
      <c r="D138" s="1">
        <v>0.0339756262826532</v>
      </c>
      <c r="E138" s="1">
        <v>0.7435289621353149</v>
      </c>
      <c r="F138" s="1">
        <v>0.7317150831222534</v>
      </c>
      <c r="G138" s="1">
        <v>0.7375746965408325</v>
      </c>
      <c r="H138" s="1">
        <v>0.4288025889967638</v>
      </c>
      <c r="I138" s="1">
        <v>0.11021069692058347</v>
      </c>
      <c r="J138" s="1">
        <v>0.18446601941747573</v>
      </c>
      <c r="K138" s="1">
        <v>0.2313915857605178</v>
      </c>
      <c r="L138" s="1">
        <v>0.0</v>
      </c>
      <c r="M138" s="1">
        <v>0.0</v>
      </c>
      <c r="N138" s="1">
        <v>0.9999999403953552</v>
      </c>
      <c r="O138" s="1">
        <v>0.9999999403953552</v>
      </c>
    </row>
    <row r="139" ht="15.75" customHeight="1">
      <c r="A139" s="1" t="s">
        <v>58</v>
      </c>
      <c r="B139" s="1" t="s">
        <v>16</v>
      </c>
      <c r="C139" s="1" t="s">
        <v>37</v>
      </c>
      <c r="D139" s="1">
        <v>0.046993373090042874</v>
      </c>
      <c r="E139" s="1">
        <v>0.751255452632904</v>
      </c>
      <c r="F139" s="1">
        <v>0.7284574508666992</v>
      </c>
      <c r="G139" s="1">
        <v>0.7396807670593262</v>
      </c>
      <c r="H139" s="1">
        <v>0.439509954058193</v>
      </c>
      <c r="I139" s="1">
        <v>0.1058282208588957</v>
      </c>
      <c r="J139" s="1">
        <v>0.1868300153139357</v>
      </c>
      <c r="K139" s="1">
        <v>0.2664624808575804</v>
      </c>
      <c r="L139" s="1">
        <v>0.0</v>
      </c>
      <c r="M139" s="1">
        <v>0.0</v>
      </c>
      <c r="N139" s="1">
        <v>0.7693519592285156</v>
      </c>
      <c r="O139" s="1">
        <v>0.7693519592285156</v>
      </c>
    </row>
    <row r="140" ht="15.75" customHeight="1">
      <c r="A140" s="1" t="s">
        <v>58</v>
      </c>
      <c r="B140" s="1" t="s">
        <v>16</v>
      </c>
      <c r="C140" s="1" t="s">
        <v>38</v>
      </c>
      <c r="D140" s="1">
        <v>0.0391094142904489</v>
      </c>
      <c r="E140" s="1">
        <v>0.7373515963554382</v>
      </c>
      <c r="F140" s="1">
        <v>0.7250519394874573</v>
      </c>
      <c r="G140" s="1">
        <v>0.7311500310897827</v>
      </c>
      <c r="H140" s="1">
        <v>0.4533929903057419</v>
      </c>
      <c r="I140" s="1">
        <v>0.1075429424943988</v>
      </c>
      <c r="J140" s="1">
        <v>0.18493661446681578</v>
      </c>
      <c r="K140" s="1">
        <v>0.24906785980611487</v>
      </c>
      <c r="L140" s="1">
        <v>0.0</v>
      </c>
      <c r="M140" s="1">
        <v>0.0</v>
      </c>
      <c r="N140" s="1">
        <v>0.9999999403953552</v>
      </c>
      <c r="O140" s="1">
        <v>0.9999999403953552</v>
      </c>
    </row>
    <row r="141" ht="15.75" customHeight="1">
      <c r="A141" s="1" t="s">
        <v>58</v>
      </c>
      <c r="B141" s="1" t="s">
        <v>16</v>
      </c>
      <c r="C141" s="1" t="s">
        <v>39</v>
      </c>
      <c r="D141" s="1">
        <v>0.027723808051863752</v>
      </c>
      <c r="E141" s="1">
        <v>0.7370374202728271</v>
      </c>
      <c r="F141" s="1">
        <v>0.7250043749809265</v>
      </c>
      <c r="G141" s="1">
        <v>0.7309713363647461</v>
      </c>
      <c r="H141" s="1">
        <v>0.4010507880910683</v>
      </c>
      <c r="I141" s="1">
        <v>0.10701754385964911</v>
      </c>
      <c r="J141" s="1">
        <v>0.17513134851138354</v>
      </c>
      <c r="K141" s="1">
        <v>0.23292469352014014</v>
      </c>
      <c r="L141" s="1">
        <v>0.0</v>
      </c>
      <c r="M141" s="1">
        <v>0.0</v>
      </c>
      <c r="N141" s="1">
        <v>0.9999999403953552</v>
      </c>
      <c r="O141" s="1">
        <v>0.9999999403953552</v>
      </c>
    </row>
    <row r="142" ht="15.75" customHeight="1">
      <c r="A142" s="1" t="s">
        <v>58</v>
      </c>
      <c r="B142" s="1" t="s">
        <v>16</v>
      </c>
      <c r="C142" s="1" t="s">
        <v>40</v>
      </c>
      <c r="D142" s="1">
        <v>0.030267412642932624</v>
      </c>
      <c r="E142" s="1">
        <v>0.7235622406005859</v>
      </c>
      <c r="F142" s="1">
        <v>0.7280318140983582</v>
      </c>
      <c r="G142" s="1">
        <v>0.7257900834083557</v>
      </c>
      <c r="H142" s="1">
        <v>0.42649434571890144</v>
      </c>
      <c r="I142" s="1">
        <v>0.09546925566343042</v>
      </c>
      <c r="J142" s="1">
        <v>0.17609046849757673</v>
      </c>
      <c r="K142" s="1">
        <v>0.2310177705977383</v>
      </c>
      <c r="L142" s="1">
        <v>0.0</v>
      </c>
      <c r="M142" s="1">
        <v>0.0</v>
      </c>
      <c r="N142" s="1">
        <v>0.9999999403953552</v>
      </c>
      <c r="O142" s="1">
        <v>0.9999999403953552</v>
      </c>
    </row>
    <row r="143" ht="15.75" customHeight="1">
      <c r="A143" s="1" t="s">
        <v>58</v>
      </c>
      <c r="B143" s="1" t="s">
        <v>16</v>
      </c>
      <c r="C143" s="1" t="s">
        <v>41</v>
      </c>
      <c r="D143" s="1">
        <v>0.016187655875222435</v>
      </c>
      <c r="E143" s="1">
        <v>0.7338931560516357</v>
      </c>
      <c r="F143" s="1">
        <v>0.725271999835968</v>
      </c>
      <c r="G143" s="1">
        <v>0.7295571565628052</v>
      </c>
      <c r="H143" s="1">
        <v>0.3741007194244604</v>
      </c>
      <c r="I143" s="1">
        <v>0.06306306306306307</v>
      </c>
      <c r="J143" s="1">
        <v>0.1618705035971223</v>
      </c>
      <c r="K143" s="1">
        <v>0.2158273381294964</v>
      </c>
      <c r="L143" s="1">
        <v>0.7023138999938965</v>
      </c>
      <c r="M143" s="1">
        <v>0.7023138999938965</v>
      </c>
      <c r="N143" s="1">
        <v>0.7023138999938965</v>
      </c>
      <c r="O143" s="1">
        <v>0.7023138999938965</v>
      </c>
    </row>
    <row r="144" ht="15.75" customHeight="1">
      <c r="A144" s="1" t="s">
        <v>58</v>
      </c>
      <c r="B144" s="1" t="s">
        <v>16</v>
      </c>
      <c r="C144" s="1" t="s">
        <v>42</v>
      </c>
      <c r="D144" s="1">
        <v>0.02362758040151927</v>
      </c>
      <c r="E144" s="1">
        <v>0.7368090152740479</v>
      </c>
      <c r="F144" s="1">
        <v>0.7243735790252686</v>
      </c>
      <c r="G144" s="1">
        <v>0.7305383682250977</v>
      </c>
      <c r="H144" s="1">
        <v>0.37979094076655057</v>
      </c>
      <c r="I144" s="1">
        <v>0.0837696335078534</v>
      </c>
      <c r="J144" s="1">
        <v>0.1707317073170732</v>
      </c>
      <c r="K144" s="1">
        <v>0.23170731707317074</v>
      </c>
      <c r="L144" s="1">
        <v>0.0</v>
      </c>
      <c r="M144" s="1">
        <v>0.0</v>
      </c>
      <c r="N144" s="1">
        <v>0.7693519592285156</v>
      </c>
      <c r="O144" s="1">
        <v>0.7693519592285156</v>
      </c>
    </row>
    <row r="145" ht="15.75" customHeight="1">
      <c r="A145" s="1" t="s">
        <v>58</v>
      </c>
      <c r="B145" s="1" t="s">
        <v>16</v>
      </c>
      <c r="C145" s="1" t="s">
        <v>43</v>
      </c>
      <c r="D145" s="1">
        <v>0.01927535405296788</v>
      </c>
      <c r="E145" s="1">
        <v>0.727728545665741</v>
      </c>
      <c r="F145" s="1">
        <v>0.7264883518218994</v>
      </c>
      <c r="G145" s="1">
        <v>0.7271078824996948</v>
      </c>
      <c r="H145" s="1">
        <v>0.3782866836301951</v>
      </c>
      <c r="I145" s="1">
        <v>0.08496176720475786</v>
      </c>
      <c r="J145" s="1">
        <v>0.1611535199321459</v>
      </c>
      <c r="K145" s="1">
        <v>0.22561492790500426</v>
      </c>
      <c r="L145" s="1">
        <v>0.8271334767341614</v>
      </c>
      <c r="M145" s="1">
        <v>0.8271334767341614</v>
      </c>
      <c r="N145" s="1">
        <v>0.8271334767341614</v>
      </c>
      <c r="O145" s="1">
        <v>0.8271334767341614</v>
      </c>
    </row>
    <row r="146" ht="15.75" customHeight="1">
      <c r="A146" s="1" t="s">
        <v>58</v>
      </c>
      <c r="B146" s="1" t="s">
        <v>16</v>
      </c>
      <c r="C146" s="1" t="s">
        <v>44</v>
      </c>
      <c r="D146" s="1">
        <v>0.01527891215720533</v>
      </c>
      <c r="E146" s="1">
        <v>0.737402081489563</v>
      </c>
      <c r="F146" s="1">
        <v>0.713494062423706</v>
      </c>
      <c r="G146" s="1">
        <v>0.7252510786056519</v>
      </c>
      <c r="H146" s="1">
        <v>0.3504356243949661</v>
      </c>
      <c r="I146" s="1">
        <v>0.08535402521823474</v>
      </c>
      <c r="J146" s="1">
        <v>0.1626331074540174</v>
      </c>
      <c r="K146" s="1">
        <v>0.19361084220716362</v>
      </c>
      <c r="L146" s="1">
        <v>0.0</v>
      </c>
      <c r="M146" s="1">
        <v>0.0</v>
      </c>
      <c r="N146" s="1">
        <v>0.7693519592285156</v>
      </c>
      <c r="O146" s="1">
        <v>0.7693519592285156</v>
      </c>
    </row>
    <row r="147" ht="15.75" customHeight="1">
      <c r="A147" s="1" t="s">
        <v>58</v>
      </c>
      <c r="B147" s="1" t="s">
        <v>16</v>
      </c>
      <c r="C147" s="1" t="s">
        <v>45</v>
      </c>
      <c r="D147" s="1">
        <v>0.01527891215720533</v>
      </c>
      <c r="E147" s="1">
        <v>0.737402081489563</v>
      </c>
      <c r="F147" s="1">
        <v>0.713494062423706</v>
      </c>
      <c r="G147" s="1">
        <v>0.7252510786056519</v>
      </c>
      <c r="H147" s="1">
        <v>0.3504356243949661</v>
      </c>
      <c r="I147" s="1">
        <v>0.08535402521823474</v>
      </c>
      <c r="J147" s="1">
        <v>0.1626331074540174</v>
      </c>
      <c r="K147" s="1">
        <v>0.19361084220716362</v>
      </c>
      <c r="L147" s="1">
        <v>0.0</v>
      </c>
      <c r="M147" s="1">
        <v>0.0</v>
      </c>
      <c r="N147" s="1">
        <v>0.7693519592285156</v>
      </c>
      <c r="O147" s="1">
        <v>0.7693519592285156</v>
      </c>
    </row>
    <row r="148" ht="15.75" customHeight="1">
      <c r="A148" s="1" t="s">
        <v>58</v>
      </c>
      <c r="B148" s="1" t="s">
        <v>16</v>
      </c>
      <c r="C148" s="1" t="s">
        <v>46</v>
      </c>
      <c r="D148" s="1">
        <v>0.0</v>
      </c>
      <c r="E148" s="1">
        <v>0.7392860651016235</v>
      </c>
      <c r="F148" s="1">
        <v>0.7178995013237</v>
      </c>
      <c r="G148" s="1">
        <v>0.7284358739852905</v>
      </c>
      <c r="H148" s="1">
        <v>0.3404255319148936</v>
      </c>
      <c r="I148" s="1">
        <v>0.08897126969416126</v>
      </c>
      <c r="J148" s="1">
        <v>0.1646623496762257</v>
      </c>
      <c r="K148" s="1">
        <v>0.19796484736355227</v>
      </c>
      <c r="L148" s="1">
        <v>0.0</v>
      </c>
      <c r="M148" s="1">
        <v>0.0</v>
      </c>
      <c r="N148" s="1">
        <v>0.7693519592285156</v>
      </c>
      <c r="O148" s="1">
        <v>0.7693519592285156</v>
      </c>
    </row>
    <row r="149" ht="15.75" customHeight="1">
      <c r="A149" s="1" t="s">
        <v>58</v>
      </c>
      <c r="B149" s="1" t="s">
        <v>16</v>
      </c>
      <c r="C149" s="1" t="s">
        <v>47</v>
      </c>
      <c r="D149" s="1">
        <v>0.051575873727971774</v>
      </c>
      <c r="E149" s="1">
        <v>0.7387041449546814</v>
      </c>
      <c r="F149" s="1">
        <v>0.7268922328948975</v>
      </c>
      <c r="G149" s="1">
        <v>0.7327505350112915</v>
      </c>
      <c r="H149" s="1">
        <v>0.4380639868744873</v>
      </c>
      <c r="I149" s="1">
        <v>0.10353327855382088</v>
      </c>
      <c r="J149" s="1">
        <v>0.17391304347826086</v>
      </c>
      <c r="K149" s="1">
        <v>0.25594749794913857</v>
      </c>
      <c r="L149" s="1">
        <v>0.0</v>
      </c>
      <c r="M149" s="1">
        <v>0.0</v>
      </c>
      <c r="N149" s="1">
        <v>0.9999999403953552</v>
      </c>
      <c r="O149" s="1">
        <v>0.9999999403953552</v>
      </c>
    </row>
    <row r="150" ht="15.75" customHeight="1">
      <c r="A150" s="1" t="s">
        <v>58</v>
      </c>
      <c r="B150" s="1" t="s">
        <v>16</v>
      </c>
      <c r="C150" s="1" t="s">
        <v>48</v>
      </c>
      <c r="D150" s="1">
        <v>0.05430985408982245</v>
      </c>
      <c r="E150" s="1">
        <v>0.7329349517822266</v>
      </c>
      <c r="F150" s="1">
        <v>0.727961003780365</v>
      </c>
      <c r="G150" s="1">
        <v>0.7304394841194153</v>
      </c>
      <c r="H150" s="1">
        <v>0.3948936170212766</v>
      </c>
      <c r="I150" s="1">
        <v>0.09718670076726342</v>
      </c>
      <c r="J150" s="1">
        <v>0.17021276595744683</v>
      </c>
      <c r="K150" s="1">
        <v>0.25531914893617025</v>
      </c>
      <c r="L150" s="1">
        <v>0.7023138999938965</v>
      </c>
      <c r="M150" s="1">
        <v>0.7023138999938965</v>
      </c>
      <c r="N150" s="1">
        <v>0.7023138999938965</v>
      </c>
      <c r="O150" s="1">
        <v>0.7023138999938965</v>
      </c>
    </row>
    <row r="151" ht="15.75" customHeight="1">
      <c r="A151" s="1" t="s">
        <v>58</v>
      </c>
      <c r="B151" s="1" t="s">
        <v>16</v>
      </c>
      <c r="C151" s="1" t="s">
        <v>49</v>
      </c>
      <c r="D151" s="1">
        <v>0.038824674078436004</v>
      </c>
      <c r="E151" s="1">
        <v>0.7330286502838135</v>
      </c>
      <c r="F151" s="1">
        <v>0.7313975095748901</v>
      </c>
      <c r="G151" s="1">
        <v>0.7322121262550354</v>
      </c>
      <c r="H151" s="1">
        <v>0.40034512510785164</v>
      </c>
      <c r="I151" s="1">
        <v>0.09334485738980121</v>
      </c>
      <c r="J151" s="1">
        <v>0.16911130284728215</v>
      </c>
      <c r="K151" s="1">
        <v>0.2312338222605695</v>
      </c>
      <c r="L151" s="1">
        <v>0.0</v>
      </c>
      <c r="M151" s="1">
        <v>0.0</v>
      </c>
      <c r="N151" s="1">
        <v>0.9999999403953552</v>
      </c>
      <c r="O151" s="1">
        <v>0.9999999403953552</v>
      </c>
    </row>
    <row r="152" ht="15.75" customHeight="1">
      <c r="A152" s="1" t="s">
        <v>58</v>
      </c>
      <c r="B152" s="1" t="s">
        <v>16</v>
      </c>
      <c r="C152" s="1" t="s">
        <v>50</v>
      </c>
      <c r="D152" s="1">
        <v>0.019183650844715044</v>
      </c>
      <c r="E152" s="1">
        <v>0.6626288890838623</v>
      </c>
      <c r="F152" s="1">
        <v>0.649599552154541</v>
      </c>
      <c r="G152" s="1">
        <v>0.6560495495796204</v>
      </c>
      <c r="H152" s="1">
        <v>0.341747572815534</v>
      </c>
      <c r="I152" s="1">
        <v>0.09727626459143969</v>
      </c>
      <c r="J152" s="1">
        <v>0.170873786407767</v>
      </c>
      <c r="K152" s="1">
        <v>0.18834951456310678</v>
      </c>
      <c r="L152" s="1">
        <v>0.0</v>
      </c>
      <c r="M152" s="1">
        <v>0.0</v>
      </c>
      <c r="N152" s="1">
        <v>0.8277580142021179</v>
      </c>
      <c r="O152" s="1">
        <v>0.8277580142021179</v>
      </c>
    </row>
    <row r="153" ht="15.75" customHeight="1">
      <c r="A153" s="1" t="s">
        <v>58</v>
      </c>
      <c r="B153" s="1" t="s">
        <v>16</v>
      </c>
      <c r="C153" s="1" t="s">
        <v>51</v>
      </c>
      <c r="D153" s="1">
        <v>0.019183650844715044</v>
      </c>
      <c r="E153" s="1">
        <v>0.6626288890838623</v>
      </c>
      <c r="F153" s="1">
        <v>0.649599552154541</v>
      </c>
      <c r="G153" s="1">
        <v>0.6560495495796204</v>
      </c>
      <c r="H153" s="1">
        <v>0.341747572815534</v>
      </c>
      <c r="I153" s="1">
        <v>0.09727626459143969</v>
      </c>
      <c r="J153" s="1">
        <v>0.170873786407767</v>
      </c>
      <c r="K153" s="1">
        <v>0.18834951456310678</v>
      </c>
      <c r="L153" s="1">
        <v>0.0</v>
      </c>
      <c r="M153" s="1">
        <v>0.0</v>
      </c>
      <c r="N153" s="1">
        <v>0.8277580142021179</v>
      </c>
      <c r="O153" s="1">
        <v>0.8277580142021179</v>
      </c>
    </row>
    <row r="154" ht="15.75" customHeight="1">
      <c r="A154" s="1" t="s">
        <v>58</v>
      </c>
      <c r="B154" s="1" t="s">
        <v>16</v>
      </c>
      <c r="C154" s="1" t="s">
        <v>52</v>
      </c>
      <c r="D154" s="1">
        <v>0.01838355493555009</v>
      </c>
      <c r="E154" s="1">
        <v>0.7364626526832581</v>
      </c>
      <c r="F154" s="1">
        <v>0.7173216938972473</v>
      </c>
      <c r="G154" s="1">
        <v>0.7267661094665527</v>
      </c>
      <c r="H154" s="1">
        <v>0.3774283071230342</v>
      </c>
      <c r="I154" s="1">
        <v>0.09823911028730306</v>
      </c>
      <c r="J154" s="1">
        <v>0.1646623496762257</v>
      </c>
      <c r="K154" s="1">
        <v>0.21646623496762257</v>
      </c>
      <c r="L154" s="1">
        <v>0.0</v>
      </c>
      <c r="M154" s="1">
        <v>0.0</v>
      </c>
      <c r="N154" s="1">
        <v>0.8277580142021179</v>
      </c>
      <c r="O154" s="1">
        <v>0.8277580142021179</v>
      </c>
    </row>
    <row r="155" ht="15.75" customHeight="1">
      <c r="A155" s="1" t="s">
        <v>58</v>
      </c>
      <c r="B155" s="1" t="s">
        <v>16</v>
      </c>
      <c r="C155" s="1" t="s">
        <v>53</v>
      </c>
      <c r="D155" s="1">
        <v>0.045756942315882315</v>
      </c>
      <c r="E155" s="1">
        <v>0.7309014797210693</v>
      </c>
      <c r="F155" s="1">
        <v>0.728338360786438</v>
      </c>
      <c r="G155" s="1">
        <v>0.7296176552772522</v>
      </c>
      <c r="H155" s="1">
        <v>0.46818538884524746</v>
      </c>
      <c r="I155" s="1">
        <v>0.12903225806451613</v>
      </c>
      <c r="J155" s="1">
        <v>0.18538884524744698</v>
      </c>
      <c r="K155" s="1">
        <v>0.24037706205813042</v>
      </c>
      <c r="L155" s="1">
        <v>0.0</v>
      </c>
      <c r="M155" s="1">
        <v>0.0</v>
      </c>
      <c r="N155" s="1">
        <v>0.9999999403953552</v>
      </c>
      <c r="O155" s="1">
        <v>0.9999999403953552</v>
      </c>
    </row>
    <row r="156" ht="15.75" customHeight="1">
      <c r="A156" s="1" t="s">
        <v>58</v>
      </c>
      <c r="B156" s="1" t="s">
        <v>16</v>
      </c>
      <c r="C156" s="1" t="s">
        <v>54</v>
      </c>
      <c r="D156" s="1">
        <v>0.0662013337529396</v>
      </c>
      <c r="E156" s="1">
        <v>0.7369204759597778</v>
      </c>
      <c r="F156" s="1">
        <v>0.7343300580978394</v>
      </c>
      <c r="G156" s="1">
        <v>0.7356230020523071</v>
      </c>
      <c r="H156" s="1">
        <v>0.47328244274809156</v>
      </c>
      <c r="I156" s="1">
        <v>0.11952744961779012</v>
      </c>
      <c r="J156" s="1">
        <v>0.18459403192227622</v>
      </c>
      <c r="K156" s="1">
        <v>0.2748091603053435</v>
      </c>
      <c r="L156" s="1">
        <v>0.0</v>
      </c>
      <c r="M156" s="1">
        <v>0.0</v>
      </c>
      <c r="N156" s="1">
        <v>0.9999999403953552</v>
      </c>
      <c r="O156" s="1">
        <v>0.9999999403953552</v>
      </c>
    </row>
    <row r="157" ht="15.75" customHeight="1">
      <c r="A157" s="1" t="s">
        <v>58</v>
      </c>
      <c r="B157" s="1" t="s">
        <v>16</v>
      </c>
      <c r="C157" s="1" t="s">
        <v>55</v>
      </c>
      <c r="D157" s="1">
        <v>0.057447065043888544</v>
      </c>
      <c r="E157" s="1">
        <v>0.7336838841438293</v>
      </c>
      <c r="F157" s="1">
        <v>0.728837251663208</v>
      </c>
      <c r="G157" s="1">
        <v>0.7312526106834412</v>
      </c>
      <c r="H157" s="1">
        <v>0.48</v>
      </c>
      <c r="I157" s="1">
        <v>0.1172106824925816</v>
      </c>
      <c r="J157" s="1">
        <v>0.19111111111111112</v>
      </c>
      <c r="K157" s="1">
        <v>0.24740740740740738</v>
      </c>
      <c r="L157" s="1">
        <v>0.0</v>
      </c>
      <c r="M157" s="1">
        <v>0.0</v>
      </c>
      <c r="N157" s="1">
        <v>0.9999999403953552</v>
      </c>
      <c r="O157" s="1">
        <v>0.9999999403953552</v>
      </c>
    </row>
    <row r="158" ht="15.75" customHeight="1">
      <c r="A158" s="1" t="s">
        <v>59</v>
      </c>
      <c r="B158" s="1" t="s">
        <v>16</v>
      </c>
      <c r="C158" s="1" t="s">
        <v>17</v>
      </c>
      <c r="D158" s="1">
        <v>0.06309750255848669</v>
      </c>
      <c r="E158" s="1">
        <v>0.7333807945251465</v>
      </c>
      <c r="F158" s="1">
        <v>0.7291799783706665</v>
      </c>
      <c r="G158" s="1">
        <v>0.7312743663787842</v>
      </c>
      <c r="H158" s="1">
        <v>0.46267806267806266</v>
      </c>
      <c r="I158" s="1">
        <v>0.12892184826012548</v>
      </c>
      <c r="J158" s="1">
        <v>0.18233618233618232</v>
      </c>
      <c r="K158" s="1">
        <v>0.26096866096866095</v>
      </c>
      <c r="L158" s="1">
        <v>0.0</v>
      </c>
      <c r="M158" s="1">
        <v>0.0</v>
      </c>
      <c r="N158" s="1">
        <v>0.9999999403953552</v>
      </c>
      <c r="O158" s="1">
        <v>0.9999999403953552</v>
      </c>
    </row>
    <row r="159" ht="15.75" customHeight="1">
      <c r="A159" s="1" t="s">
        <v>59</v>
      </c>
      <c r="B159" s="1" t="s">
        <v>16</v>
      </c>
      <c r="C159" s="1" t="s">
        <v>18</v>
      </c>
      <c r="D159" s="1">
        <v>0.06720058980505773</v>
      </c>
      <c r="E159" s="1">
        <v>0.7340750694274902</v>
      </c>
      <c r="F159" s="1">
        <v>0.7282154560089111</v>
      </c>
      <c r="G159" s="1">
        <v>0.7311335206031799</v>
      </c>
      <c r="H159" s="1">
        <v>0.46503695281409896</v>
      </c>
      <c r="I159" s="1">
        <v>0.13545816733067728</v>
      </c>
      <c r="J159" s="1">
        <v>0.1841955656623081</v>
      </c>
      <c r="K159" s="1">
        <v>0.2637862421830586</v>
      </c>
      <c r="L159" s="1">
        <v>0.0</v>
      </c>
      <c r="M159" s="1">
        <v>0.0</v>
      </c>
      <c r="N159" s="1">
        <v>0.9999999403953552</v>
      </c>
      <c r="O159" s="1">
        <v>0.9999999403953552</v>
      </c>
    </row>
    <row r="160" ht="15.75" customHeight="1">
      <c r="A160" s="1" t="s">
        <v>59</v>
      </c>
      <c r="B160" s="1" t="s">
        <v>16</v>
      </c>
      <c r="C160" s="1" t="s">
        <v>19</v>
      </c>
      <c r="D160" s="1">
        <v>0.06456419557361492</v>
      </c>
      <c r="E160" s="1">
        <v>0.738587498664856</v>
      </c>
      <c r="F160" s="1">
        <v>0.7336949110031128</v>
      </c>
      <c r="G160" s="1">
        <v>0.7361330986022949</v>
      </c>
      <c r="H160" s="1">
        <v>0.4471330878485008</v>
      </c>
      <c r="I160" s="1">
        <v>0.14323328067403895</v>
      </c>
      <c r="J160" s="1">
        <v>0.1862177801157286</v>
      </c>
      <c r="K160" s="1">
        <v>0.2630194634402946</v>
      </c>
      <c r="L160" s="1">
        <v>0.0</v>
      </c>
      <c r="M160" s="1">
        <v>0.0</v>
      </c>
      <c r="N160" s="1">
        <v>0.9999999403953552</v>
      </c>
      <c r="O160" s="1">
        <v>0.9999999403953552</v>
      </c>
    </row>
    <row r="161" ht="15.75" customHeight="1">
      <c r="A161" s="1" t="s">
        <v>59</v>
      </c>
      <c r="B161" s="1" t="s">
        <v>16</v>
      </c>
      <c r="C161" s="1" t="s">
        <v>20</v>
      </c>
      <c r="D161" s="1">
        <v>0.06579861585490517</v>
      </c>
      <c r="E161" s="1">
        <v>0.7074922323226929</v>
      </c>
      <c r="F161" s="1">
        <v>0.7049862146377563</v>
      </c>
      <c r="G161" s="1">
        <v>0.7062370181083679</v>
      </c>
      <c r="H161" s="1">
        <v>0.45050215208034433</v>
      </c>
      <c r="I161" s="1">
        <v>0.11925287356321838</v>
      </c>
      <c r="J161" s="1">
        <v>0.1807747489239598</v>
      </c>
      <c r="K161" s="1">
        <v>0.2697274031563845</v>
      </c>
      <c r="L161" s="1">
        <v>0.0</v>
      </c>
      <c r="M161" s="1">
        <v>0.0</v>
      </c>
      <c r="N161" s="1">
        <v>0.9999999403953552</v>
      </c>
      <c r="O161" s="1">
        <v>0.9999999403953552</v>
      </c>
    </row>
    <row r="162" ht="15.75" customHeight="1">
      <c r="A162" s="1" t="s">
        <v>59</v>
      </c>
      <c r="B162" s="1" t="s">
        <v>16</v>
      </c>
      <c r="C162" s="1" t="s">
        <v>21</v>
      </c>
      <c r="D162" s="1">
        <v>0.06529511892112291</v>
      </c>
      <c r="E162" s="1">
        <v>0.7244020700454712</v>
      </c>
      <c r="F162" s="1">
        <v>0.7248040437698364</v>
      </c>
      <c r="G162" s="1">
        <v>0.724602997303009</v>
      </c>
      <c r="H162" s="1">
        <v>0.4761904761904762</v>
      </c>
      <c r="I162" s="1">
        <v>0.14850136239782016</v>
      </c>
      <c r="J162" s="1">
        <v>0.19319727891156463</v>
      </c>
      <c r="K162" s="1">
        <v>0.28707482993197275</v>
      </c>
      <c r="L162" s="1">
        <v>0.0</v>
      </c>
      <c r="M162" s="1">
        <v>0.0</v>
      </c>
      <c r="N162" s="1">
        <v>0.9999999403953552</v>
      </c>
      <c r="O162" s="1">
        <v>0.9999999403953552</v>
      </c>
    </row>
    <row r="163" ht="15.75" customHeight="1">
      <c r="A163" s="1" t="s">
        <v>59</v>
      </c>
      <c r="B163" s="1" t="s">
        <v>16</v>
      </c>
      <c r="C163" s="1" t="s">
        <v>22</v>
      </c>
      <c r="D163" s="1">
        <v>0.056876113909183505</v>
      </c>
      <c r="E163" s="1">
        <v>0.7276657223701477</v>
      </c>
      <c r="F163" s="1">
        <v>0.7177121043205261</v>
      </c>
      <c r="G163" s="1">
        <v>0.7226547002792358</v>
      </c>
      <c r="H163" s="1">
        <v>0.4681753889674682</v>
      </c>
      <c r="I163" s="1">
        <v>0.12322946175637395</v>
      </c>
      <c r="J163" s="1">
        <v>0.18811881188118812</v>
      </c>
      <c r="K163" s="1">
        <v>0.2814710042432815</v>
      </c>
      <c r="L163" s="1">
        <v>0.0</v>
      </c>
      <c r="M163" s="1">
        <v>0.0</v>
      </c>
      <c r="N163" s="1">
        <v>0.9999999403953552</v>
      </c>
      <c r="O163" s="1">
        <v>0.9999999403953552</v>
      </c>
    </row>
    <row r="164" ht="15.75" customHeight="1">
      <c r="A164" s="1" t="s">
        <v>59</v>
      </c>
      <c r="B164" s="1" t="s">
        <v>16</v>
      </c>
      <c r="C164" s="1" t="s">
        <v>23</v>
      </c>
      <c r="D164" s="1">
        <v>0.037884231903133184</v>
      </c>
      <c r="E164" s="1">
        <v>0.723712682723999</v>
      </c>
      <c r="F164" s="1">
        <v>0.7130594253540039</v>
      </c>
      <c r="G164" s="1">
        <v>0.7183465957641602</v>
      </c>
      <c r="H164" s="1">
        <v>0.4435975609756098</v>
      </c>
      <c r="I164" s="1">
        <v>0.10839694656488551</v>
      </c>
      <c r="J164" s="1">
        <v>0.17530487804878048</v>
      </c>
      <c r="K164" s="1">
        <v>0.2667682926829268</v>
      </c>
      <c r="L164" s="1">
        <v>0.0</v>
      </c>
      <c r="M164" s="1">
        <v>0.0</v>
      </c>
      <c r="N164" s="1">
        <v>0.9999999403953552</v>
      </c>
      <c r="O164" s="1">
        <v>0.9999999403953552</v>
      </c>
    </row>
    <row r="165" ht="15.75" customHeight="1">
      <c r="A165" s="1" t="s">
        <v>59</v>
      </c>
      <c r="B165" s="1" t="s">
        <v>16</v>
      </c>
      <c r="C165" s="1" t="s">
        <v>24</v>
      </c>
      <c r="D165" s="1">
        <v>0.03152445844852444</v>
      </c>
      <c r="E165" s="1">
        <v>0.7248826026916504</v>
      </c>
      <c r="F165" s="1">
        <v>0.7145937085151672</v>
      </c>
      <c r="G165" s="1">
        <v>0.7197014093399048</v>
      </c>
      <c r="H165" s="1">
        <v>0.44341801385681295</v>
      </c>
      <c r="I165" s="1">
        <v>0.1094834232845027</v>
      </c>
      <c r="J165" s="1">
        <v>0.17859892224788299</v>
      </c>
      <c r="K165" s="1">
        <v>0.2802155504234026</v>
      </c>
      <c r="L165" s="1">
        <v>0.0</v>
      </c>
      <c r="M165" s="1">
        <v>0.0</v>
      </c>
      <c r="N165" s="1">
        <v>0.9999999403953552</v>
      </c>
      <c r="O165" s="1">
        <v>0.9999999403953552</v>
      </c>
    </row>
    <row r="166" ht="15.75" customHeight="1">
      <c r="A166" s="1" t="s">
        <v>59</v>
      </c>
      <c r="B166" s="1" t="s">
        <v>16</v>
      </c>
      <c r="C166" s="1" t="s">
        <v>25</v>
      </c>
      <c r="D166" s="1">
        <v>0.03152445844852444</v>
      </c>
      <c r="E166" s="1">
        <v>0.7248826026916504</v>
      </c>
      <c r="F166" s="1">
        <v>0.7145937085151672</v>
      </c>
      <c r="G166" s="1">
        <v>0.7197014093399048</v>
      </c>
      <c r="H166" s="1">
        <v>0.44341801385681295</v>
      </c>
      <c r="I166" s="1">
        <v>0.1094834232845027</v>
      </c>
      <c r="J166" s="1">
        <v>0.17859892224788299</v>
      </c>
      <c r="K166" s="1">
        <v>0.2802155504234026</v>
      </c>
      <c r="L166" s="1">
        <v>0.0</v>
      </c>
      <c r="M166" s="1">
        <v>0.0</v>
      </c>
      <c r="N166" s="1">
        <v>0.9999999403953552</v>
      </c>
      <c r="O166" s="1">
        <v>0.9999999403953552</v>
      </c>
    </row>
    <row r="167" ht="15.75" customHeight="1">
      <c r="A167" s="1" t="s">
        <v>59</v>
      </c>
      <c r="B167" s="1" t="s">
        <v>16</v>
      </c>
      <c r="C167" s="1" t="s">
        <v>26</v>
      </c>
      <c r="D167" s="1">
        <v>0.0669793795824332</v>
      </c>
      <c r="E167" s="1">
        <v>0.7413948774337769</v>
      </c>
      <c r="F167" s="1">
        <v>0.7325479388237</v>
      </c>
      <c r="G167" s="1">
        <v>0.736944854259491</v>
      </c>
      <c r="H167" s="1">
        <v>0.4903623747108713</v>
      </c>
      <c r="I167" s="1">
        <v>0.13745173745173747</v>
      </c>
      <c r="J167" s="1">
        <v>0.2035466461063994</v>
      </c>
      <c r="K167" s="1">
        <v>0.25597532767925985</v>
      </c>
      <c r="L167" s="1">
        <v>0.0</v>
      </c>
      <c r="M167" s="1">
        <v>0.0</v>
      </c>
      <c r="N167" s="1">
        <v>0.9999999403953552</v>
      </c>
      <c r="O167" s="1">
        <v>0.9999999403953552</v>
      </c>
    </row>
    <row r="168" ht="15.75" customHeight="1">
      <c r="A168" s="1" t="s">
        <v>59</v>
      </c>
      <c r="B168" s="1" t="s">
        <v>16</v>
      </c>
      <c r="C168" s="1" t="s">
        <v>27</v>
      </c>
      <c r="D168" s="1">
        <v>0.06476429875913461</v>
      </c>
      <c r="E168" s="1">
        <v>0.7443972826004028</v>
      </c>
      <c r="F168" s="1">
        <v>0.7306452989578247</v>
      </c>
      <c r="G168" s="1">
        <v>0.7374571561813354</v>
      </c>
      <c r="H168" s="1">
        <v>0.4945904173106646</v>
      </c>
      <c r="I168" s="1">
        <v>0.1408668730650155</v>
      </c>
      <c r="J168" s="1">
        <v>0.20401854714064913</v>
      </c>
      <c r="K168" s="1">
        <v>0.2596599690880989</v>
      </c>
      <c r="L168" s="1">
        <v>0.0</v>
      </c>
      <c r="M168" s="1">
        <v>0.0</v>
      </c>
      <c r="N168" s="1">
        <v>0.9999999403953552</v>
      </c>
      <c r="O168" s="1">
        <v>0.9999999403953552</v>
      </c>
    </row>
    <row r="169" ht="15.75" customHeight="1">
      <c r="A169" s="1" t="s">
        <v>59</v>
      </c>
      <c r="B169" s="1" t="s">
        <v>16</v>
      </c>
      <c r="C169" s="1" t="s">
        <v>28</v>
      </c>
      <c r="D169" s="1">
        <v>0.05866973461636469</v>
      </c>
      <c r="E169" s="1">
        <v>0.7438154816627502</v>
      </c>
      <c r="F169" s="1">
        <v>0.7312800884246826</v>
      </c>
      <c r="G169" s="1">
        <v>0.7374945282936096</v>
      </c>
      <c r="H169" s="1">
        <v>0.48596631916599836</v>
      </c>
      <c r="I169" s="1">
        <v>0.1429718875502008</v>
      </c>
      <c r="J169" s="1">
        <v>0.1988773055332799</v>
      </c>
      <c r="K169" s="1">
        <v>0.2758620689655173</v>
      </c>
      <c r="L169" s="1">
        <v>0.0</v>
      </c>
      <c r="M169" s="1">
        <v>0.0</v>
      </c>
      <c r="N169" s="1">
        <v>0.9999999403953552</v>
      </c>
      <c r="O169" s="1">
        <v>0.9999999403953552</v>
      </c>
    </row>
    <row r="170" ht="15.75" customHeight="1">
      <c r="A170" s="1" t="s">
        <v>59</v>
      </c>
      <c r="B170" s="1" t="s">
        <v>16</v>
      </c>
      <c r="C170" s="1" t="s">
        <v>29</v>
      </c>
      <c r="D170" s="1">
        <v>0.08439635494575806</v>
      </c>
      <c r="E170" s="1">
        <v>0.7463844418525696</v>
      </c>
      <c r="F170" s="1">
        <v>0.7293275594711304</v>
      </c>
      <c r="G170" s="1">
        <v>0.7377573847770691</v>
      </c>
      <c r="H170" s="1">
        <v>0.47101449275362317</v>
      </c>
      <c r="I170" s="1">
        <v>0.14513788098693758</v>
      </c>
      <c r="J170" s="1">
        <v>0.19130434782608693</v>
      </c>
      <c r="K170" s="1">
        <v>0.2782608695652174</v>
      </c>
      <c r="L170" s="1">
        <v>0.0</v>
      </c>
      <c r="M170" s="1">
        <v>0.0</v>
      </c>
      <c r="N170" s="1">
        <v>0.9999999403953552</v>
      </c>
      <c r="O170" s="1">
        <v>0.9999999403953552</v>
      </c>
    </row>
    <row r="171" ht="15.75" customHeight="1">
      <c r="A171" s="1" t="s">
        <v>59</v>
      </c>
      <c r="B171" s="1" t="s">
        <v>16</v>
      </c>
      <c r="C171" s="1" t="s">
        <v>30</v>
      </c>
      <c r="D171" s="1">
        <v>0.07628443956369929</v>
      </c>
      <c r="E171" s="1">
        <v>0.7468957901000977</v>
      </c>
      <c r="F171" s="1">
        <v>0.7260987758636475</v>
      </c>
      <c r="G171" s="1">
        <v>0.7363504767417908</v>
      </c>
      <c r="H171" s="1">
        <v>0.4722222222222222</v>
      </c>
      <c r="I171" s="1">
        <v>0.15220949263502453</v>
      </c>
      <c r="J171" s="1">
        <v>0.19934640522875816</v>
      </c>
      <c r="K171" s="1">
        <v>0.2761437908496732</v>
      </c>
      <c r="L171" s="1">
        <v>0.0</v>
      </c>
      <c r="M171" s="1">
        <v>0.0</v>
      </c>
      <c r="N171" s="1">
        <v>0.7693519592285156</v>
      </c>
      <c r="O171" s="1">
        <v>0.7693519592285156</v>
      </c>
    </row>
    <row r="172" ht="15.75" customHeight="1">
      <c r="A172" s="1" t="s">
        <v>59</v>
      </c>
      <c r="B172" s="1" t="s">
        <v>16</v>
      </c>
      <c r="C172" s="1" t="s">
        <v>31</v>
      </c>
      <c r="D172" s="1">
        <v>0.07701184290154624</v>
      </c>
      <c r="E172" s="1">
        <v>0.74605393409729</v>
      </c>
      <c r="F172" s="1">
        <v>0.7054548263549805</v>
      </c>
      <c r="G172" s="1">
        <v>0.7251865863800049</v>
      </c>
      <c r="H172" s="1">
        <v>0.4438943894389439</v>
      </c>
      <c r="I172" s="1">
        <v>0.12892561983471074</v>
      </c>
      <c r="J172" s="1">
        <v>0.20132013201320131</v>
      </c>
      <c r="K172" s="1">
        <v>0.2623762376237624</v>
      </c>
      <c r="L172" s="1">
        <v>0.0</v>
      </c>
      <c r="M172" s="1">
        <v>0.0</v>
      </c>
      <c r="N172" s="1">
        <v>0.9999999403953552</v>
      </c>
      <c r="O172" s="1">
        <v>0.9999999403953552</v>
      </c>
    </row>
    <row r="173" ht="15.75" customHeight="1">
      <c r="A173" s="1" t="s">
        <v>59</v>
      </c>
      <c r="B173" s="1" t="s">
        <v>16</v>
      </c>
      <c r="C173" s="1" t="s">
        <v>32</v>
      </c>
      <c r="D173" s="1">
        <v>0.06080751726679243</v>
      </c>
      <c r="E173" s="1">
        <v>0.7278763651847839</v>
      </c>
      <c r="F173" s="1">
        <v>0.7148278951644897</v>
      </c>
      <c r="G173" s="1">
        <v>0.7212931513786316</v>
      </c>
      <c r="H173" s="1">
        <v>0.46988847583643123</v>
      </c>
      <c r="I173" s="1">
        <v>0.1325390915860015</v>
      </c>
      <c r="J173" s="1">
        <v>0.2037174721189591</v>
      </c>
      <c r="K173" s="1">
        <v>0.26022304832713755</v>
      </c>
      <c r="L173" s="1">
        <v>0.0</v>
      </c>
      <c r="M173" s="1">
        <v>0.0</v>
      </c>
      <c r="N173" s="1">
        <v>0.9999999403953552</v>
      </c>
      <c r="O173" s="1">
        <v>0.9999999403953552</v>
      </c>
    </row>
    <row r="174" ht="15.75" customHeight="1">
      <c r="A174" s="1" t="s">
        <v>59</v>
      </c>
      <c r="B174" s="1" t="s">
        <v>16</v>
      </c>
      <c r="C174" s="1" t="s">
        <v>33</v>
      </c>
      <c r="D174" s="1">
        <v>0.04969625150478928</v>
      </c>
      <c r="E174" s="1">
        <v>0.7278763651847839</v>
      </c>
      <c r="F174" s="1">
        <v>0.7148278951644897</v>
      </c>
      <c r="G174" s="1">
        <v>0.7212931513786316</v>
      </c>
      <c r="H174" s="1">
        <v>0.47730829420970267</v>
      </c>
      <c r="I174" s="1">
        <v>0.12695924764890285</v>
      </c>
      <c r="J174" s="1">
        <v>0.1971830985915493</v>
      </c>
      <c r="K174" s="1">
        <v>0.24569640062597808</v>
      </c>
      <c r="L174" s="1">
        <v>0.0</v>
      </c>
      <c r="M174" s="1">
        <v>0.0</v>
      </c>
      <c r="N174" s="1">
        <v>0.9999999403953552</v>
      </c>
      <c r="O174" s="1">
        <v>0.9999999403953552</v>
      </c>
    </row>
    <row r="175" ht="15.75" customHeight="1">
      <c r="A175" s="1" t="s">
        <v>59</v>
      </c>
      <c r="B175" s="1" t="s">
        <v>16</v>
      </c>
      <c r="C175" s="1" t="s">
        <v>34</v>
      </c>
      <c r="D175" s="1">
        <v>0.04569050056931955</v>
      </c>
      <c r="E175" s="1">
        <v>0.7293891906738281</v>
      </c>
      <c r="F175" s="1">
        <v>0.7193130850791931</v>
      </c>
      <c r="G175" s="1">
        <v>0.7243161201477051</v>
      </c>
      <c r="H175" s="1">
        <v>0.4745484400656814</v>
      </c>
      <c r="I175" s="1">
        <v>0.12171052631578948</v>
      </c>
      <c r="J175" s="1">
        <v>0.19211822660098524</v>
      </c>
      <c r="K175" s="1">
        <v>0.27257799671592775</v>
      </c>
      <c r="L175" s="1">
        <v>0.0</v>
      </c>
      <c r="M175" s="1">
        <v>0.0</v>
      </c>
      <c r="N175" s="1">
        <v>0.9999999403953552</v>
      </c>
      <c r="O175" s="1">
        <v>0.9999999403953552</v>
      </c>
    </row>
    <row r="176" ht="15.75" customHeight="1">
      <c r="A176" s="1" t="s">
        <v>59</v>
      </c>
      <c r="B176" s="1" t="s">
        <v>16</v>
      </c>
      <c r="C176" s="1" t="s">
        <v>35</v>
      </c>
      <c r="D176" s="1">
        <v>0.06466914459398332</v>
      </c>
      <c r="E176" s="1">
        <v>0.7527706623077393</v>
      </c>
      <c r="F176" s="1">
        <v>0.7340310215950012</v>
      </c>
      <c r="G176" s="1">
        <v>0.7432827353477478</v>
      </c>
      <c r="H176" s="1">
        <v>0.47491039426523296</v>
      </c>
      <c r="I176" s="1">
        <v>0.13644524236983843</v>
      </c>
      <c r="J176" s="1">
        <v>0.18996415770609318</v>
      </c>
      <c r="K176" s="1">
        <v>0.2831541218637993</v>
      </c>
      <c r="L176" s="1">
        <v>0.0</v>
      </c>
      <c r="M176" s="1">
        <v>0.0</v>
      </c>
      <c r="N176" s="1">
        <v>0.9999999403953552</v>
      </c>
      <c r="O176" s="1">
        <v>0.9999999403953552</v>
      </c>
    </row>
    <row r="177" ht="15.75" customHeight="1">
      <c r="A177" s="1" t="s">
        <v>59</v>
      </c>
      <c r="B177" s="1" t="s">
        <v>16</v>
      </c>
      <c r="C177" s="1" t="s">
        <v>36</v>
      </c>
      <c r="D177" s="1">
        <v>0.06893928875892134</v>
      </c>
      <c r="E177" s="1">
        <v>0.7467936873435974</v>
      </c>
      <c r="F177" s="1">
        <v>0.7264002561569214</v>
      </c>
      <c r="G177" s="1">
        <v>0.7364558577537537</v>
      </c>
      <c r="H177" s="1">
        <v>0.4730639730639731</v>
      </c>
      <c r="I177" s="1">
        <v>0.12141652613827994</v>
      </c>
      <c r="J177" s="1">
        <v>0.18518518518518517</v>
      </c>
      <c r="K177" s="1">
        <v>0.2727272727272727</v>
      </c>
      <c r="L177" s="1">
        <v>0.0</v>
      </c>
      <c r="M177" s="1">
        <v>0.0</v>
      </c>
      <c r="N177" s="1">
        <v>0.9999999403953552</v>
      </c>
      <c r="O177" s="1">
        <v>0.9999999403953552</v>
      </c>
    </row>
    <row r="178" ht="15.75" customHeight="1">
      <c r="A178" s="1" t="s">
        <v>59</v>
      </c>
      <c r="B178" s="1" t="s">
        <v>16</v>
      </c>
      <c r="C178" s="1" t="s">
        <v>37</v>
      </c>
      <c r="D178" s="1">
        <v>0.05990229665732523</v>
      </c>
      <c r="E178" s="1">
        <v>0.7435173988342285</v>
      </c>
      <c r="F178" s="1">
        <v>0.7292792797088623</v>
      </c>
      <c r="G178" s="1">
        <v>0.7363295555114746</v>
      </c>
      <c r="H178" s="1">
        <v>0.4674085850556439</v>
      </c>
      <c r="I178" s="1">
        <v>0.12898089171974522</v>
      </c>
      <c r="J178" s="1">
        <v>0.18600953895071545</v>
      </c>
      <c r="K178" s="1">
        <v>0.273449920508744</v>
      </c>
      <c r="L178" s="1">
        <v>0.0</v>
      </c>
      <c r="M178" s="1">
        <v>0.0</v>
      </c>
      <c r="N178" s="1">
        <v>0.7693519592285156</v>
      </c>
      <c r="O178" s="1">
        <v>0.7693519592285156</v>
      </c>
    </row>
    <row r="179" ht="15.75" customHeight="1">
      <c r="A179" s="1" t="s">
        <v>59</v>
      </c>
      <c r="B179" s="1" t="s">
        <v>16</v>
      </c>
      <c r="C179" s="1" t="s">
        <v>38</v>
      </c>
      <c r="D179" s="1">
        <v>0.06326950484890353</v>
      </c>
      <c r="E179" s="1">
        <v>0.7318432927131653</v>
      </c>
      <c r="F179" s="1">
        <v>0.7157224416732788</v>
      </c>
      <c r="G179" s="1">
        <v>0.7236930727958679</v>
      </c>
      <c r="H179" s="1">
        <v>0.46713070378963656</v>
      </c>
      <c r="I179" s="1">
        <v>0.1192873741285825</v>
      </c>
      <c r="J179" s="1">
        <v>0.19798917246713071</v>
      </c>
      <c r="K179" s="1">
        <v>0.2877030162412993</v>
      </c>
      <c r="L179" s="1">
        <v>0.0</v>
      </c>
      <c r="M179" s="1">
        <v>0.0</v>
      </c>
      <c r="N179" s="1">
        <v>0.9999999403953552</v>
      </c>
      <c r="O179" s="1">
        <v>0.9999999403953552</v>
      </c>
    </row>
    <row r="180" ht="15.75" customHeight="1">
      <c r="A180" s="1" t="s">
        <v>59</v>
      </c>
      <c r="B180" s="1" t="s">
        <v>16</v>
      </c>
      <c r="C180" s="1" t="s">
        <v>39</v>
      </c>
      <c r="D180" s="1">
        <v>0.04005013069037849</v>
      </c>
      <c r="E180" s="1">
        <v>0.7316231727600098</v>
      </c>
      <c r="F180" s="1">
        <v>0.7157592177391052</v>
      </c>
      <c r="G180" s="1">
        <v>0.7236042022705078</v>
      </c>
      <c r="H180" s="1">
        <v>0.44058500914076787</v>
      </c>
      <c r="I180" s="1">
        <v>0.1043956043956044</v>
      </c>
      <c r="J180" s="1">
        <v>0.18464351005484464</v>
      </c>
      <c r="K180" s="1">
        <v>0.2705667276051188</v>
      </c>
      <c r="L180" s="1">
        <v>0.0</v>
      </c>
      <c r="M180" s="1">
        <v>0.0</v>
      </c>
      <c r="N180" s="1">
        <v>0.9999999403953552</v>
      </c>
      <c r="O180" s="1">
        <v>0.9999999403953552</v>
      </c>
    </row>
    <row r="181" ht="15.75" customHeight="1">
      <c r="A181" s="1" t="s">
        <v>59</v>
      </c>
      <c r="B181" s="1" t="s">
        <v>16</v>
      </c>
      <c r="C181" s="1" t="s">
        <v>40</v>
      </c>
      <c r="D181" s="1">
        <v>0.0525325410673605</v>
      </c>
      <c r="E181" s="1">
        <v>0.7207369208335876</v>
      </c>
      <c r="F181" s="1">
        <v>0.7246726751327515</v>
      </c>
      <c r="G181" s="1">
        <v>0.7226994633674622</v>
      </c>
      <c r="H181" s="1">
        <v>0.4151260504201681</v>
      </c>
      <c r="I181" s="1">
        <v>0.10606060606060606</v>
      </c>
      <c r="J181" s="1">
        <v>0.173109243697479</v>
      </c>
      <c r="K181" s="1">
        <v>0.24033613445378152</v>
      </c>
      <c r="L181" s="1">
        <v>0.0</v>
      </c>
      <c r="M181" s="1">
        <v>0.0</v>
      </c>
      <c r="N181" s="1">
        <v>0.9999999403953552</v>
      </c>
      <c r="O181" s="1">
        <v>0.9999999403953552</v>
      </c>
    </row>
    <row r="182" ht="15.75" customHeight="1">
      <c r="A182" s="1" t="s">
        <v>59</v>
      </c>
      <c r="B182" s="1" t="s">
        <v>16</v>
      </c>
      <c r="C182" s="1" t="s">
        <v>41</v>
      </c>
      <c r="D182" s="1">
        <v>0.024143386010189123</v>
      </c>
      <c r="E182" s="1">
        <v>0.738052487373352</v>
      </c>
      <c r="F182" s="1">
        <v>0.7264969944953918</v>
      </c>
      <c r="G182" s="1">
        <v>0.7322291135787964</v>
      </c>
      <c r="H182" s="1">
        <v>0.400375939849624</v>
      </c>
      <c r="I182" s="1">
        <v>0.11864406779661019</v>
      </c>
      <c r="J182" s="1">
        <v>0.17857142857142858</v>
      </c>
      <c r="K182" s="1">
        <v>0.24248120300751883</v>
      </c>
      <c r="L182" s="1">
        <v>0.7023138999938965</v>
      </c>
      <c r="M182" s="1">
        <v>0.7023138999938965</v>
      </c>
      <c r="N182" s="1">
        <v>0.7023138999938965</v>
      </c>
      <c r="O182" s="1">
        <v>0.7023138999938965</v>
      </c>
    </row>
    <row r="183" ht="15.75" customHeight="1">
      <c r="A183" s="1" t="s">
        <v>59</v>
      </c>
      <c r="B183" s="1" t="s">
        <v>16</v>
      </c>
      <c r="C183" s="1" t="s">
        <v>42</v>
      </c>
      <c r="D183" s="1">
        <v>0.03799755314826677</v>
      </c>
      <c r="E183" s="1">
        <v>0.7417626976966858</v>
      </c>
      <c r="F183" s="1">
        <v>0.7207703590393066</v>
      </c>
      <c r="G183" s="1">
        <v>0.7311158776283264</v>
      </c>
      <c r="H183" s="1">
        <v>0.3981818181818182</v>
      </c>
      <c r="I183" s="1">
        <v>0.1202185792349727</v>
      </c>
      <c r="J183" s="1">
        <v>0.17454545454545453</v>
      </c>
      <c r="K183" s="1">
        <v>0.23090909090909092</v>
      </c>
      <c r="L183" s="1">
        <v>0.0</v>
      </c>
      <c r="M183" s="1">
        <v>0.0</v>
      </c>
      <c r="N183" s="1">
        <v>0.7693519592285156</v>
      </c>
      <c r="O183" s="1">
        <v>0.7693519592285156</v>
      </c>
    </row>
    <row r="184" ht="15.75" customHeight="1">
      <c r="A184" s="1" t="s">
        <v>59</v>
      </c>
      <c r="B184" s="1" t="s">
        <v>16</v>
      </c>
      <c r="C184" s="1" t="s">
        <v>43</v>
      </c>
      <c r="D184" s="1">
        <v>0.026282073263141113</v>
      </c>
      <c r="E184" s="1">
        <v>0.7215042114257812</v>
      </c>
      <c r="F184" s="1">
        <v>0.7207000851631165</v>
      </c>
      <c r="G184" s="1">
        <v>0.7211019396781921</v>
      </c>
      <c r="H184" s="1">
        <v>0.385499557913351</v>
      </c>
      <c r="I184" s="1">
        <v>0.08857395925597875</v>
      </c>
      <c r="J184" s="1">
        <v>0.16799292661361628</v>
      </c>
      <c r="K184" s="1">
        <v>0.23519009725906276</v>
      </c>
      <c r="L184" s="1">
        <v>0.8271334767341614</v>
      </c>
      <c r="M184" s="1">
        <v>0.8271334767341614</v>
      </c>
      <c r="N184" s="1">
        <v>0.8271334767341614</v>
      </c>
      <c r="O184" s="1">
        <v>0.8271334767341614</v>
      </c>
    </row>
    <row r="185" ht="15.75" customHeight="1">
      <c r="A185" s="1" t="s">
        <v>59</v>
      </c>
      <c r="B185" s="1" t="s">
        <v>16</v>
      </c>
      <c r="C185" s="1" t="s">
        <v>44</v>
      </c>
      <c r="D185" s="1">
        <v>0.02588242521914685</v>
      </c>
      <c r="E185" s="1">
        <v>0.7410961985588074</v>
      </c>
      <c r="F185" s="1">
        <v>0.714115560054779</v>
      </c>
      <c r="G185" s="1">
        <v>0.7273557782173157</v>
      </c>
      <c r="H185" s="1">
        <v>0.36751269035532996</v>
      </c>
      <c r="I185" s="1">
        <v>0.08341810783316378</v>
      </c>
      <c r="J185" s="1">
        <v>0.16243654822335027</v>
      </c>
      <c r="K185" s="1">
        <v>0.2152284263959391</v>
      </c>
      <c r="L185" s="1">
        <v>0.0</v>
      </c>
      <c r="M185" s="1">
        <v>0.0</v>
      </c>
      <c r="N185" s="1">
        <v>0.7693519592285156</v>
      </c>
      <c r="O185" s="1">
        <v>0.7693519592285156</v>
      </c>
    </row>
    <row r="186" ht="15.75" customHeight="1">
      <c r="A186" s="1" t="s">
        <v>59</v>
      </c>
      <c r="B186" s="1" t="s">
        <v>16</v>
      </c>
      <c r="C186" s="1" t="s">
        <v>45</v>
      </c>
      <c r="D186" s="1">
        <v>0.02588242521914685</v>
      </c>
      <c r="E186" s="1">
        <v>0.7410961985588074</v>
      </c>
      <c r="F186" s="1">
        <v>0.714115560054779</v>
      </c>
      <c r="G186" s="1">
        <v>0.7273557782173157</v>
      </c>
      <c r="H186" s="1">
        <v>0.36751269035532996</v>
      </c>
      <c r="I186" s="1">
        <v>0.08341810783316378</v>
      </c>
      <c r="J186" s="1">
        <v>0.16243654822335027</v>
      </c>
      <c r="K186" s="1">
        <v>0.2152284263959391</v>
      </c>
      <c r="L186" s="1">
        <v>0.0</v>
      </c>
      <c r="M186" s="1">
        <v>0.0</v>
      </c>
      <c r="N186" s="1">
        <v>0.7693519592285156</v>
      </c>
      <c r="O186" s="1">
        <v>0.7693519592285156</v>
      </c>
    </row>
    <row r="187" ht="15.75" customHeight="1">
      <c r="A187" s="1" t="s">
        <v>59</v>
      </c>
      <c r="B187" s="1" t="s">
        <v>16</v>
      </c>
      <c r="C187" s="1" t="s">
        <v>46</v>
      </c>
      <c r="D187" s="1">
        <v>0.03268272469689471</v>
      </c>
      <c r="E187" s="1">
        <v>0.7386230826377869</v>
      </c>
      <c r="F187" s="1">
        <v>0.7118315100669861</v>
      </c>
      <c r="G187" s="1">
        <v>0.7249798774719238</v>
      </c>
      <c r="H187" s="1">
        <v>0.3794772507260407</v>
      </c>
      <c r="I187" s="1">
        <v>0.12221144519883607</v>
      </c>
      <c r="J187" s="1">
        <v>0.17812197483059047</v>
      </c>
      <c r="K187" s="1">
        <v>0.2323330106485963</v>
      </c>
      <c r="L187" s="1">
        <v>0.0</v>
      </c>
      <c r="M187" s="1">
        <v>0.0</v>
      </c>
      <c r="N187" s="1">
        <v>0.7693519592285156</v>
      </c>
      <c r="O187" s="1">
        <v>0.7693519592285156</v>
      </c>
    </row>
    <row r="188" ht="15.75" customHeight="1">
      <c r="A188" s="1" t="s">
        <v>59</v>
      </c>
      <c r="B188" s="1" t="s">
        <v>16</v>
      </c>
      <c r="C188" s="1" t="s">
        <v>47</v>
      </c>
      <c r="D188" s="1">
        <v>0.05948774063831823</v>
      </c>
      <c r="E188" s="1">
        <v>0.749173641204834</v>
      </c>
      <c r="F188" s="1">
        <v>0.7357031106948853</v>
      </c>
      <c r="G188" s="1">
        <v>0.7423772811889648</v>
      </c>
      <c r="H188" s="1">
        <v>0.4372331340734415</v>
      </c>
      <c r="I188" s="1">
        <v>0.10265183917878529</v>
      </c>
      <c r="J188" s="1">
        <v>0.1861656703672075</v>
      </c>
      <c r="K188" s="1">
        <v>0.26131511528608026</v>
      </c>
      <c r="L188" s="1">
        <v>0.0</v>
      </c>
      <c r="M188" s="1">
        <v>0.0</v>
      </c>
      <c r="N188" s="1">
        <v>0.9999999403953552</v>
      </c>
      <c r="O188" s="1">
        <v>0.9999999403953552</v>
      </c>
    </row>
    <row r="189" ht="15.75" customHeight="1">
      <c r="A189" s="1" t="s">
        <v>59</v>
      </c>
      <c r="B189" s="1" t="s">
        <v>16</v>
      </c>
      <c r="C189" s="1" t="s">
        <v>48</v>
      </c>
      <c r="D189" s="1">
        <v>0.0635827629706633</v>
      </c>
      <c r="E189" s="1">
        <v>0.735614538192749</v>
      </c>
      <c r="F189" s="1">
        <v>0.7281814813613892</v>
      </c>
      <c r="G189" s="1">
        <v>0.7318791151046753</v>
      </c>
      <c r="H189" s="1">
        <v>0.40993788819875776</v>
      </c>
      <c r="I189" s="1">
        <v>0.11022222222222222</v>
      </c>
      <c r="J189" s="1">
        <v>0.1739130434782609</v>
      </c>
      <c r="K189" s="1">
        <v>0.2573203194321207</v>
      </c>
      <c r="L189" s="1">
        <v>0.7023138999938965</v>
      </c>
      <c r="M189" s="1">
        <v>0.7023138999938965</v>
      </c>
      <c r="N189" s="1">
        <v>0.7023138999938965</v>
      </c>
      <c r="O189" s="1">
        <v>0.7023138999938965</v>
      </c>
    </row>
    <row r="190" ht="15.75" customHeight="1">
      <c r="A190" s="1" t="s">
        <v>59</v>
      </c>
      <c r="B190" s="1" t="s">
        <v>16</v>
      </c>
      <c r="C190" s="1" t="s">
        <v>49</v>
      </c>
      <c r="D190" s="1">
        <v>0.040839188435604974</v>
      </c>
      <c r="E190" s="1">
        <v>0.7379607558250427</v>
      </c>
      <c r="F190" s="1">
        <v>0.7248634099960327</v>
      </c>
      <c r="G190" s="1">
        <v>0.7313534617424011</v>
      </c>
      <c r="H190" s="1">
        <v>0.39243924392439244</v>
      </c>
      <c r="I190" s="1">
        <v>0.07935076645626692</v>
      </c>
      <c r="J190" s="1">
        <v>0.16741674167416742</v>
      </c>
      <c r="K190" s="1">
        <v>0.21422142214221424</v>
      </c>
      <c r="L190" s="1">
        <v>0.0</v>
      </c>
      <c r="M190" s="1">
        <v>0.0</v>
      </c>
      <c r="N190" s="1">
        <v>0.9999999403953552</v>
      </c>
      <c r="O190" s="1">
        <v>0.9999999403953552</v>
      </c>
    </row>
    <row r="191" ht="15.75" customHeight="1">
      <c r="A191" s="1" t="s">
        <v>59</v>
      </c>
      <c r="B191" s="1" t="s">
        <v>16</v>
      </c>
      <c r="C191" s="1" t="s">
        <v>50</v>
      </c>
      <c r="D191" s="1">
        <v>0.0</v>
      </c>
      <c r="E191" s="1">
        <v>0.660815954208374</v>
      </c>
      <c r="F191" s="1">
        <v>0.6451398134231567</v>
      </c>
      <c r="G191" s="1">
        <v>0.652883768081665</v>
      </c>
      <c r="H191" s="1">
        <v>0.3564154786150713</v>
      </c>
      <c r="I191" s="1">
        <v>0.0836734693877551</v>
      </c>
      <c r="J191" s="1">
        <v>0.18329938900203668</v>
      </c>
      <c r="K191" s="1">
        <v>0.1934826883910387</v>
      </c>
      <c r="L191" s="1">
        <v>0.0</v>
      </c>
      <c r="M191" s="1">
        <v>0.0</v>
      </c>
      <c r="N191" s="1">
        <v>0.8277580142021179</v>
      </c>
      <c r="O191" s="1">
        <v>0.8277580142021179</v>
      </c>
    </row>
    <row r="192" ht="15.75" customHeight="1">
      <c r="A192" s="1" t="s">
        <v>59</v>
      </c>
      <c r="B192" s="1" t="s">
        <v>16</v>
      </c>
      <c r="C192" s="1" t="s">
        <v>51</v>
      </c>
      <c r="D192" s="1">
        <v>0.0</v>
      </c>
      <c r="E192" s="1">
        <v>0.660815954208374</v>
      </c>
      <c r="F192" s="1">
        <v>0.6451398134231567</v>
      </c>
      <c r="G192" s="1">
        <v>0.652883768081665</v>
      </c>
      <c r="H192" s="1">
        <v>0.3564154786150713</v>
      </c>
      <c r="I192" s="1">
        <v>0.0836734693877551</v>
      </c>
      <c r="J192" s="1">
        <v>0.18329938900203668</v>
      </c>
      <c r="K192" s="1">
        <v>0.1934826883910387</v>
      </c>
      <c r="L192" s="1">
        <v>0.0</v>
      </c>
      <c r="M192" s="1">
        <v>0.0</v>
      </c>
      <c r="N192" s="1">
        <v>0.8277580142021179</v>
      </c>
      <c r="O192" s="1">
        <v>0.8277580142021179</v>
      </c>
    </row>
    <row r="193" ht="15.75" customHeight="1">
      <c r="A193" s="1" t="s">
        <v>59</v>
      </c>
      <c r="B193" s="1" t="s">
        <v>16</v>
      </c>
      <c r="C193" s="1" t="s">
        <v>52</v>
      </c>
      <c r="D193" s="1">
        <v>0.027245269108118298</v>
      </c>
      <c r="E193" s="1">
        <v>0.7449666857719421</v>
      </c>
      <c r="F193" s="1">
        <v>0.7274115085601807</v>
      </c>
      <c r="G193" s="1">
        <v>0.7360844612121582</v>
      </c>
      <c r="H193" s="1">
        <v>0.4143272023233301</v>
      </c>
      <c r="I193" s="1">
        <v>0.1066925315227934</v>
      </c>
      <c r="J193" s="1">
        <v>0.17618586640851888</v>
      </c>
      <c r="K193" s="1">
        <v>0.2362052274927396</v>
      </c>
      <c r="L193" s="1">
        <v>0.0</v>
      </c>
      <c r="M193" s="1">
        <v>0.0</v>
      </c>
      <c r="N193" s="1">
        <v>0.8277580142021179</v>
      </c>
      <c r="O193" s="1">
        <v>0.8277580142021179</v>
      </c>
    </row>
    <row r="194" ht="15.75" customHeight="1">
      <c r="A194" s="1" t="s">
        <v>59</v>
      </c>
      <c r="B194" s="1" t="s">
        <v>16</v>
      </c>
      <c r="C194" s="1" t="s">
        <v>53</v>
      </c>
      <c r="D194" s="1">
        <v>0.06347715110970356</v>
      </c>
      <c r="E194" s="1">
        <v>0.7468788623809814</v>
      </c>
      <c r="F194" s="1">
        <v>0.7413676977157593</v>
      </c>
      <c r="G194" s="1">
        <v>0.7441130876541138</v>
      </c>
      <c r="H194" s="1">
        <v>0.4995918367346939</v>
      </c>
      <c r="I194" s="1">
        <v>0.14881439084219134</v>
      </c>
      <c r="J194" s="1">
        <v>0.20408163265306123</v>
      </c>
      <c r="K194" s="1">
        <v>0.26448979591836735</v>
      </c>
      <c r="L194" s="1">
        <v>0.0</v>
      </c>
      <c r="M194" s="1">
        <v>0.0</v>
      </c>
      <c r="N194" s="1">
        <v>0.9999999403953552</v>
      </c>
      <c r="O194" s="1">
        <v>0.9999999403953552</v>
      </c>
    </row>
    <row r="195" ht="15.75" customHeight="1">
      <c r="A195" s="1" t="s">
        <v>59</v>
      </c>
      <c r="B195" s="1" t="s">
        <v>16</v>
      </c>
      <c r="C195" s="1" t="s">
        <v>54</v>
      </c>
      <c r="D195" s="1">
        <v>0.07662583224602257</v>
      </c>
      <c r="E195" s="1">
        <v>0.7457675933837891</v>
      </c>
      <c r="F195" s="1">
        <v>0.7422122359275818</v>
      </c>
      <c r="G195" s="1">
        <v>0.7439855933189392</v>
      </c>
      <c r="H195" s="1">
        <v>0.516870064608758</v>
      </c>
      <c r="I195" s="1">
        <v>0.13515456506110712</v>
      </c>
      <c r="J195" s="1">
        <v>0.18951902368987794</v>
      </c>
      <c r="K195" s="1">
        <v>0.2627422828427854</v>
      </c>
      <c r="L195" s="1">
        <v>0.0</v>
      </c>
      <c r="M195" s="1">
        <v>0.0</v>
      </c>
      <c r="N195" s="1">
        <v>0.9999999403953552</v>
      </c>
      <c r="O195" s="1">
        <v>0.9999999403953552</v>
      </c>
    </row>
    <row r="196" ht="15.75" customHeight="1">
      <c r="A196" s="1" t="s">
        <v>59</v>
      </c>
      <c r="B196" s="1" t="s">
        <v>16</v>
      </c>
      <c r="C196" s="1" t="s">
        <v>55</v>
      </c>
      <c r="D196" s="1">
        <v>0.07708339747319241</v>
      </c>
      <c r="E196" s="1">
        <v>0.7461416721343994</v>
      </c>
      <c r="F196" s="1">
        <v>0.737066388130188</v>
      </c>
      <c r="G196" s="1">
        <v>0.7415763139724731</v>
      </c>
      <c r="H196" s="1">
        <v>0.48847926267281105</v>
      </c>
      <c r="I196" s="1">
        <v>0.15384615384615385</v>
      </c>
      <c r="J196" s="1">
        <v>0.19354838709677416</v>
      </c>
      <c r="K196" s="1">
        <v>0.2795698924731183</v>
      </c>
      <c r="L196" s="1">
        <v>0.0</v>
      </c>
      <c r="M196" s="1">
        <v>0.0</v>
      </c>
      <c r="N196" s="1">
        <v>0.9999999403953552</v>
      </c>
      <c r="O196" s="1">
        <v>0.9999999403953552</v>
      </c>
    </row>
    <row r="197" ht="15.75" customHeight="1">
      <c r="A197" s="1" t="s">
        <v>60</v>
      </c>
      <c r="B197" s="1" t="s">
        <v>16</v>
      </c>
      <c r="C197" s="1" t="s">
        <v>17</v>
      </c>
      <c r="D197" s="1">
        <v>0.0707656994772773</v>
      </c>
      <c r="E197" s="1">
        <v>0.7437586784362793</v>
      </c>
      <c r="F197" s="1">
        <v>0.7307406663894653</v>
      </c>
      <c r="G197" s="1">
        <v>0.7371922135353088</v>
      </c>
      <c r="H197" s="1">
        <v>0.5173535791757051</v>
      </c>
      <c r="I197" s="1">
        <v>0.1791530944625407</v>
      </c>
      <c r="J197" s="1">
        <v>0.18872017353579176</v>
      </c>
      <c r="K197" s="1">
        <v>0.2841648590021692</v>
      </c>
      <c r="L197" s="1">
        <v>0.0</v>
      </c>
      <c r="M197" s="1">
        <v>0.0</v>
      </c>
      <c r="N197" s="1">
        <v>0.9999999403953552</v>
      </c>
      <c r="O197" s="1">
        <v>0.9999999403953552</v>
      </c>
    </row>
    <row r="198" ht="15.75" customHeight="1">
      <c r="A198" s="1" t="s">
        <v>60</v>
      </c>
      <c r="B198" s="1" t="s">
        <v>16</v>
      </c>
      <c r="C198" s="1" t="s">
        <v>18</v>
      </c>
      <c r="D198" s="1">
        <v>0.06961911879111932</v>
      </c>
      <c r="E198" s="1">
        <v>0.7465602159500122</v>
      </c>
      <c r="F198" s="1">
        <v>0.7302542328834534</v>
      </c>
      <c r="G198" s="1">
        <v>0.7383171916007996</v>
      </c>
      <c r="H198" s="1">
        <v>0.5183982683982684</v>
      </c>
      <c r="I198" s="1">
        <v>0.17118093174431204</v>
      </c>
      <c r="J198" s="1">
        <v>0.18614718614718614</v>
      </c>
      <c r="K198" s="1">
        <v>0.2824675324675325</v>
      </c>
      <c r="L198" s="1">
        <v>0.0</v>
      </c>
      <c r="M198" s="1">
        <v>0.0</v>
      </c>
      <c r="N198" s="1">
        <v>0.9999999403953552</v>
      </c>
      <c r="O198" s="1">
        <v>0.9999999403953552</v>
      </c>
    </row>
    <row r="199" ht="15.75" customHeight="1">
      <c r="A199" s="1" t="s">
        <v>60</v>
      </c>
      <c r="B199" s="1" t="s">
        <v>16</v>
      </c>
      <c r="C199" s="1" t="s">
        <v>19</v>
      </c>
      <c r="D199" s="1">
        <v>0.06036187001114117</v>
      </c>
      <c r="E199" s="1">
        <v>0.7471856474876404</v>
      </c>
      <c r="F199" s="1">
        <v>0.7358137369155884</v>
      </c>
      <c r="G199" s="1">
        <v>0.741456151008606</v>
      </c>
      <c r="H199" s="1">
        <v>0.49849246231155786</v>
      </c>
      <c r="I199" s="1">
        <v>0.17002012072434608</v>
      </c>
      <c r="J199" s="1">
        <v>0.1809045226130653</v>
      </c>
      <c r="K199" s="1">
        <v>0.27537688442211056</v>
      </c>
      <c r="L199" s="1">
        <v>0.0</v>
      </c>
      <c r="M199" s="1">
        <v>0.0</v>
      </c>
      <c r="N199" s="1">
        <v>0.9999999403953552</v>
      </c>
      <c r="O199" s="1">
        <v>0.9999999403953552</v>
      </c>
    </row>
    <row r="200" ht="15.75" customHeight="1">
      <c r="A200" s="1" t="s">
        <v>60</v>
      </c>
      <c r="B200" s="1" t="s">
        <v>16</v>
      </c>
      <c r="C200" s="1" t="s">
        <v>20</v>
      </c>
      <c r="D200" s="1">
        <v>0.0739167136393035</v>
      </c>
      <c r="E200" s="1">
        <v>0.7356952428817749</v>
      </c>
      <c r="F200" s="1">
        <v>0.7210648059844971</v>
      </c>
      <c r="G200" s="1">
        <v>0.7283065915107727</v>
      </c>
      <c r="H200" s="1">
        <v>0.5151719487525287</v>
      </c>
      <c r="I200" s="1">
        <v>0.14989871708305197</v>
      </c>
      <c r="J200" s="1">
        <v>0.19689817936614967</v>
      </c>
      <c r="K200" s="1">
        <v>0.3007417397167903</v>
      </c>
      <c r="L200" s="1">
        <v>0.0</v>
      </c>
      <c r="M200" s="1">
        <v>0.0</v>
      </c>
      <c r="N200" s="1">
        <v>0.9999999403953552</v>
      </c>
      <c r="O200" s="1">
        <v>0.9999999403953552</v>
      </c>
    </row>
    <row r="201" ht="15.75" customHeight="1">
      <c r="A201" s="1" t="s">
        <v>60</v>
      </c>
      <c r="B201" s="1" t="s">
        <v>16</v>
      </c>
      <c r="C201" s="1" t="s">
        <v>21</v>
      </c>
      <c r="D201" s="1">
        <v>0.08968896310691768</v>
      </c>
      <c r="E201" s="1">
        <v>0.7419189810752869</v>
      </c>
      <c r="F201" s="1">
        <v>0.7299197912216187</v>
      </c>
      <c r="G201" s="1">
        <v>0.7358704805374146</v>
      </c>
      <c r="H201" s="1">
        <v>0.5375240538806928</v>
      </c>
      <c r="I201" s="1">
        <v>0.17597944765574824</v>
      </c>
      <c r="J201" s="1">
        <v>0.20012828736369467</v>
      </c>
      <c r="K201" s="1">
        <v>0.29762668377164847</v>
      </c>
      <c r="L201" s="1">
        <v>0.0</v>
      </c>
      <c r="M201" s="1">
        <v>0.0</v>
      </c>
      <c r="N201" s="1">
        <v>0.9999999403953552</v>
      </c>
      <c r="O201" s="1">
        <v>0.9999999403953552</v>
      </c>
    </row>
    <row r="202" ht="15.75" customHeight="1">
      <c r="A202" s="1" t="s">
        <v>60</v>
      </c>
      <c r="B202" s="1" t="s">
        <v>16</v>
      </c>
      <c r="C202" s="1" t="s">
        <v>22</v>
      </c>
      <c r="D202" s="1">
        <v>0.08251863039032595</v>
      </c>
      <c r="E202" s="1">
        <v>0.7460528612136841</v>
      </c>
      <c r="F202" s="1">
        <v>0.7287774085998535</v>
      </c>
      <c r="G202" s="1">
        <v>0.737313985824585</v>
      </c>
      <c r="H202" s="1">
        <v>0.5109780439121756</v>
      </c>
      <c r="I202" s="1">
        <v>0.15722851432378412</v>
      </c>
      <c r="J202" s="1">
        <v>0.20093147039254824</v>
      </c>
      <c r="K202" s="1">
        <v>0.29008649367930806</v>
      </c>
      <c r="L202" s="1">
        <v>0.0</v>
      </c>
      <c r="M202" s="1">
        <v>0.0</v>
      </c>
      <c r="N202" s="1">
        <v>0.9999999403953552</v>
      </c>
      <c r="O202" s="1">
        <v>0.9999999403953552</v>
      </c>
    </row>
    <row r="203" ht="15.75" customHeight="1">
      <c r="A203" s="1" t="s">
        <v>60</v>
      </c>
      <c r="B203" s="1" t="s">
        <v>16</v>
      </c>
      <c r="C203" s="1" t="s">
        <v>23</v>
      </c>
      <c r="D203" s="1">
        <v>0.07699390511304764</v>
      </c>
      <c r="E203" s="1">
        <v>0.743644118309021</v>
      </c>
      <c r="F203" s="1">
        <v>0.7184867858886719</v>
      </c>
      <c r="G203" s="1">
        <v>0.730849027633667</v>
      </c>
      <c r="H203" s="1">
        <v>0.4925053533190578</v>
      </c>
      <c r="I203" s="1">
        <v>0.14867762687634026</v>
      </c>
      <c r="J203" s="1">
        <v>0.19985724482512487</v>
      </c>
      <c r="K203" s="1">
        <v>0.2940756602426838</v>
      </c>
      <c r="L203" s="1">
        <v>0.0</v>
      </c>
      <c r="M203" s="1">
        <v>0.0</v>
      </c>
      <c r="N203" s="1">
        <v>0.9999999403953552</v>
      </c>
      <c r="O203" s="1">
        <v>0.9999999403953552</v>
      </c>
    </row>
    <row r="204" ht="15.75" customHeight="1">
      <c r="A204" s="1" t="s">
        <v>60</v>
      </c>
      <c r="B204" s="1" t="s">
        <v>16</v>
      </c>
      <c r="C204" s="1" t="s">
        <v>24</v>
      </c>
      <c r="D204" s="1">
        <v>0.07228975439390173</v>
      </c>
      <c r="E204" s="1">
        <v>0.7447216510772705</v>
      </c>
      <c r="F204" s="1">
        <v>0.7182005643844604</v>
      </c>
      <c r="G204" s="1">
        <v>0.7312207221984863</v>
      </c>
      <c r="H204" s="1">
        <v>0.4884726224783862</v>
      </c>
      <c r="I204" s="1">
        <v>0.15151515151515152</v>
      </c>
      <c r="J204" s="1">
        <v>0.19596541786743515</v>
      </c>
      <c r="K204" s="1">
        <v>0.2953890489913545</v>
      </c>
      <c r="L204" s="1">
        <v>0.0</v>
      </c>
      <c r="M204" s="1">
        <v>0.0</v>
      </c>
      <c r="N204" s="1">
        <v>0.9999999403953552</v>
      </c>
      <c r="O204" s="1">
        <v>0.9999999403953552</v>
      </c>
    </row>
    <row r="205" ht="15.75" customHeight="1">
      <c r="A205" s="1" t="s">
        <v>60</v>
      </c>
      <c r="B205" s="1" t="s">
        <v>16</v>
      </c>
      <c r="C205" s="1" t="s">
        <v>25</v>
      </c>
      <c r="D205" s="1">
        <v>0.07228975439390173</v>
      </c>
      <c r="E205" s="1">
        <v>0.7447216510772705</v>
      </c>
      <c r="F205" s="1">
        <v>0.7182005643844604</v>
      </c>
      <c r="G205" s="1">
        <v>0.7312207221984863</v>
      </c>
      <c r="H205" s="1">
        <v>0.4884726224783862</v>
      </c>
      <c r="I205" s="1">
        <v>0.15151515151515152</v>
      </c>
      <c r="J205" s="1">
        <v>0.19596541786743515</v>
      </c>
      <c r="K205" s="1">
        <v>0.2953890489913545</v>
      </c>
      <c r="L205" s="1">
        <v>0.0</v>
      </c>
      <c r="M205" s="1">
        <v>0.0</v>
      </c>
      <c r="N205" s="1">
        <v>0.9999999403953552</v>
      </c>
      <c r="O205" s="1">
        <v>0.9999999403953552</v>
      </c>
    </row>
    <row r="206" ht="15.75" customHeight="1">
      <c r="A206" s="1" t="s">
        <v>60</v>
      </c>
      <c r="B206" s="1" t="s">
        <v>16</v>
      </c>
      <c r="C206" s="1" t="s">
        <v>26</v>
      </c>
      <c r="D206" s="1">
        <v>0.06160319533580257</v>
      </c>
      <c r="E206" s="1">
        <v>0.7481473684310913</v>
      </c>
      <c r="F206" s="1">
        <v>0.721924901008606</v>
      </c>
      <c r="G206" s="1">
        <v>0.7348023056983948</v>
      </c>
      <c r="H206" s="1">
        <v>0.4790764790764791</v>
      </c>
      <c r="I206" s="1">
        <v>0.14017341040462428</v>
      </c>
      <c r="J206" s="1">
        <v>0.21356421356421354</v>
      </c>
      <c r="K206" s="1">
        <v>0.2698412698412698</v>
      </c>
      <c r="L206" s="1">
        <v>0.0</v>
      </c>
      <c r="M206" s="1">
        <v>0.0</v>
      </c>
      <c r="N206" s="1">
        <v>0.9999999403953552</v>
      </c>
      <c r="O206" s="1">
        <v>0.9999999403953552</v>
      </c>
    </row>
    <row r="207" ht="15.75" customHeight="1">
      <c r="A207" s="1" t="s">
        <v>60</v>
      </c>
      <c r="B207" s="1" t="s">
        <v>16</v>
      </c>
      <c r="C207" s="1" t="s">
        <v>27</v>
      </c>
      <c r="D207" s="1">
        <v>0.0633194968418332</v>
      </c>
      <c r="E207" s="1">
        <v>0.7510455846786499</v>
      </c>
      <c r="F207" s="1">
        <v>0.7221406698226929</v>
      </c>
      <c r="G207" s="1">
        <v>0.7363095283508301</v>
      </c>
      <c r="H207" s="1">
        <v>0.4844540853217643</v>
      </c>
      <c r="I207" s="1">
        <v>0.14916727009413466</v>
      </c>
      <c r="J207" s="1">
        <v>0.21258134490238614</v>
      </c>
      <c r="K207" s="1">
        <v>0.2689804772234274</v>
      </c>
      <c r="L207" s="1">
        <v>0.0</v>
      </c>
      <c r="M207" s="1">
        <v>0.0</v>
      </c>
      <c r="N207" s="1">
        <v>0.9999999403953552</v>
      </c>
      <c r="O207" s="1">
        <v>0.9999999403953552</v>
      </c>
    </row>
    <row r="208" ht="15.75" customHeight="1">
      <c r="A208" s="1" t="s">
        <v>60</v>
      </c>
      <c r="B208" s="1" t="s">
        <v>16</v>
      </c>
      <c r="C208" s="1" t="s">
        <v>28</v>
      </c>
      <c r="D208" s="1">
        <v>0.059558473516031926</v>
      </c>
      <c r="E208" s="1">
        <v>0.7506985664367676</v>
      </c>
      <c r="F208" s="1">
        <v>0.7224233746528625</v>
      </c>
      <c r="G208" s="1">
        <v>0.7362896800041199</v>
      </c>
      <c r="H208" s="1">
        <v>0.48652694610778435</v>
      </c>
      <c r="I208" s="1">
        <v>0.14842578710644677</v>
      </c>
      <c r="J208" s="1">
        <v>0.21107784431137722</v>
      </c>
      <c r="K208" s="1">
        <v>0.27245508982035926</v>
      </c>
      <c r="L208" s="1">
        <v>0.0</v>
      </c>
      <c r="M208" s="1">
        <v>0.0</v>
      </c>
      <c r="N208" s="1">
        <v>0.9999999403953552</v>
      </c>
      <c r="O208" s="1">
        <v>0.9999999403953552</v>
      </c>
    </row>
    <row r="209" ht="15.75" customHeight="1">
      <c r="A209" s="1" t="s">
        <v>60</v>
      </c>
      <c r="B209" s="1" t="s">
        <v>16</v>
      </c>
      <c r="C209" s="1" t="s">
        <v>29</v>
      </c>
      <c r="D209" s="1">
        <v>0.07038219150338709</v>
      </c>
      <c r="E209" s="1">
        <v>0.7487555146217346</v>
      </c>
      <c r="F209" s="1">
        <v>0.7238390445709229</v>
      </c>
      <c r="G209" s="1">
        <v>0.7360864877700806</v>
      </c>
      <c r="H209" s="1">
        <v>0.5159972770592239</v>
      </c>
      <c r="I209" s="1">
        <v>0.1622358554873892</v>
      </c>
      <c r="J209" s="1">
        <v>0.20694349897889722</v>
      </c>
      <c r="K209" s="1">
        <v>0.2940776038121171</v>
      </c>
      <c r="L209" s="1">
        <v>0.0</v>
      </c>
      <c r="M209" s="1">
        <v>0.0</v>
      </c>
      <c r="N209" s="1">
        <v>0.9999999403953552</v>
      </c>
      <c r="O209" s="1">
        <v>0.9999999403953552</v>
      </c>
    </row>
    <row r="210" ht="15.75" customHeight="1">
      <c r="A210" s="1" t="s">
        <v>60</v>
      </c>
      <c r="B210" s="1" t="s">
        <v>16</v>
      </c>
      <c r="C210" s="1" t="s">
        <v>30</v>
      </c>
      <c r="D210" s="1">
        <v>0.049858210732987546</v>
      </c>
      <c r="E210" s="1">
        <v>0.747841477394104</v>
      </c>
      <c r="F210" s="1">
        <v>0.7211123704910278</v>
      </c>
      <c r="G210" s="1">
        <v>0.7342337369918823</v>
      </c>
      <c r="H210" s="1">
        <v>0.4996191926884996</v>
      </c>
      <c r="I210" s="1">
        <v>0.14492753623188406</v>
      </c>
      <c r="J210" s="1">
        <v>0.194973343488195</v>
      </c>
      <c r="K210" s="1">
        <v>0.27265803503427266</v>
      </c>
      <c r="L210" s="1">
        <v>0.0</v>
      </c>
      <c r="M210" s="1">
        <v>0.0</v>
      </c>
      <c r="N210" s="1">
        <v>0.7693519592285156</v>
      </c>
      <c r="O210" s="1">
        <v>0.7693519592285156</v>
      </c>
    </row>
    <row r="211" ht="15.75" customHeight="1">
      <c r="A211" s="1" t="s">
        <v>60</v>
      </c>
      <c r="B211" s="1" t="s">
        <v>16</v>
      </c>
      <c r="C211" s="1" t="s">
        <v>31</v>
      </c>
      <c r="D211" s="1">
        <v>0.07157389728240596</v>
      </c>
      <c r="E211" s="1">
        <v>0.7561213970184326</v>
      </c>
      <c r="F211" s="1">
        <v>0.7155520915985107</v>
      </c>
      <c r="G211" s="1">
        <v>0.735277533531189</v>
      </c>
      <c r="H211" s="1">
        <v>0.49500384319754037</v>
      </c>
      <c r="I211" s="1">
        <v>0.15858352578906848</v>
      </c>
      <c r="J211" s="1">
        <v>0.21214450422751727</v>
      </c>
      <c r="K211" s="1">
        <v>0.2859338970023059</v>
      </c>
      <c r="L211" s="1">
        <v>0.0</v>
      </c>
      <c r="M211" s="1">
        <v>0.0</v>
      </c>
      <c r="N211" s="1">
        <v>0.9999999403953552</v>
      </c>
      <c r="O211" s="1">
        <v>0.9999999403953552</v>
      </c>
    </row>
    <row r="212" ht="15.75" customHeight="1">
      <c r="A212" s="1" t="s">
        <v>60</v>
      </c>
      <c r="B212" s="1" t="s">
        <v>16</v>
      </c>
      <c r="C212" s="1" t="s">
        <v>32</v>
      </c>
      <c r="D212" s="1">
        <v>0.06888500230051174</v>
      </c>
      <c r="E212" s="1">
        <v>0.7309181094169617</v>
      </c>
      <c r="F212" s="1">
        <v>0.7128132581710815</v>
      </c>
      <c r="G212" s="1">
        <v>0.7217522263526917</v>
      </c>
      <c r="H212" s="1">
        <v>0.5285913528591353</v>
      </c>
      <c r="I212" s="1">
        <v>0.15223463687150837</v>
      </c>
      <c r="J212" s="1">
        <v>0.199442119944212</v>
      </c>
      <c r="K212" s="1">
        <v>0.27475592747559274</v>
      </c>
      <c r="L212" s="1">
        <v>0.0</v>
      </c>
      <c r="M212" s="1">
        <v>0.0</v>
      </c>
      <c r="N212" s="1">
        <v>0.9999999403953552</v>
      </c>
      <c r="O212" s="1">
        <v>0.9999999403953552</v>
      </c>
    </row>
    <row r="213" ht="15.75" customHeight="1">
      <c r="A213" s="1" t="s">
        <v>60</v>
      </c>
      <c r="B213" s="1" t="s">
        <v>16</v>
      </c>
      <c r="C213" s="1" t="s">
        <v>33</v>
      </c>
      <c r="D213" s="1">
        <v>0.066236305038926</v>
      </c>
      <c r="E213" s="1">
        <v>0.7309181094169617</v>
      </c>
      <c r="F213" s="1">
        <v>0.7128132581710815</v>
      </c>
      <c r="G213" s="1">
        <v>0.7217522263526917</v>
      </c>
      <c r="H213" s="1">
        <v>0.5208485735186539</v>
      </c>
      <c r="I213" s="1">
        <v>0.1553113553113553</v>
      </c>
      <c r="J213" s="1">
        <v>0.1960497439648866</v>
      </c>
      <c r="K213" s="1">
        <v>0.26627651792245793</v>
      </c>
      <c r="L213" s="1">
        <v>0.0</v>
      </c>
      <c r="M213" s="1">
        <v>0.0</v>
      </c>
      <c r="N213" s="1">
        <v>0.9999999403953552</v>
      </c>
      <c r="O213" s="1">
        <v>0.9999999403953552</v>
      </c>
    </row>
    <row r="214" ht="15.75" customHeight="1">
      <c r="A214" s="1" t="s">
        <v>60</v>
      </c>
      <c r="B214" s="1" t="s">
        <v>16</v>
      </c>
      <c r="C214" s="1" t="s">
        <v>34</v>
      </c>
      <c r="D214" s="1">
        <v>0.053435262007031914</v>
      </c>
      <c r="E214" s="1">
        <v>0.7333757281303406</v>
      </c>
      <c r="F214" s="1">
        <v>0.7182697057723999</v>
      </c>
      <c r="G214" s="1">
        <v>0.7257441878318787</v>
      </c>
      <c r="H214" s="1">
        <v>0.5172149961744452</v>
      </c>
      <c r="I214" s="1">
        <v>0.15172413793103448</v>
      </c>
      <c r="J214" s="1">
        <v>0.1928079571537873</v>
      </c>
      <c r="K214" s="1">
        <v>0.2662586074980872</v>
      </c>
      <c r="L214" s="1">
        <v>0.0</v>
      </c>
      <c r="M214" s="1">
        <v>0.0</v>
      </c>
      <c r="N214" s="1">
        <v>0.9999999403953552</v>
      </c>
      <c r="O214" s="1">
        <v>0.9999999403953552</v>
      </c>
    </row>
    <row r="215" ht="15.75" customHeight="1">
      <c r="A215" s="1" t="s">
        <v>60</v>
      </c>
      <c r="B215" s="1" t="s">
        <v>16</v>
      </c>
      <c r="C215" s="1" t="s">
        <v>35</v>
      </c>
      <c r="D215" s="1">
        <v>0.034403920173584554</v>
      </c>
      <c r="E215" s="1">
        <v>0.7536808252334595</v>
      </c>
      <c r="F215" s="1">
        <v>0.722561776638031</v>
      </c>
      <c r="G215" s="1">
        <v>0.7377933263778687</v>
      </c>
      <c r="H215" s="1">
        <v>0.45145228215767635</v>
      </c>
      <c r="I215" s="1">
        <v>0.1313383208645054</v>
      </c>
      <c r="J215" s="1">
        <v>0.17925311203319502</v>
      </c>
      <c r="K215" s="1">
        <v>0.25062240663900415</v>
      </c>
      <c r="L215" s="1">
        <v>0.0</v>
      </c>
      <c r="M215" s="1">
        <v>0.0</v>
      </c>
      <c r="N215" s="1">
        <v>0.9999999403953552</v>
      </c>
      <c r="O215" s="1">
        <v>0.9999999403953552</v>
      </c>
    </row>
    <row r="216" ht="15.75" customHeight="1">
      <c r="A216" s="1" t="s">
        <v>60</v>
      </c>
      <c r="B216" s="1" t="s">
        <v>16</v>
      </c>
      <c r="C216" s="1" t="s">
        <v>36</v>
      </c>
      <c r="D216" s="1">
        <v>0.04695004600859964</v>
      </c>
      <c r="E216" s="1">
        <v>0.7452321648597717</v>
      </c>
      <c r="F216" s="1">
        <v>0.725504457950592</v>
      </c>
      <c r="G216" s="1">
        <v>0.7352359890937805</v>
      </c>
      <c r="H216" s="1">
        <v>0.4839467501957713</v>
      </c>
      <c r="I216" s="1">
        <v>0.14901960784313725</v>
      </c>
      <c r="J216" s="1">
        <v>0.1816758026624902</v>
      </c>
      <c r="K216" s="1">
        <v>0.27564604541895066</v>
      </c>
      <c r="L216" s="1">
        <v>0.0</v>
      </c>
      <c r="M216" s="1">
        <v>0.0</v>
      </c>
      <c r="N216" s="1">
        <v>0.9999999403953552</v>
      </c>
      <c r="O216" s="1">
        <v>0.9999999403953552</v>
      </c>
    </row>
    <row r="217" ht="15.75" customHeight="1">
      <c r="A217" s="1" t="s">
        <v>60</v>
      </c>
      <c r="B217" s="1" t="s">
        <v>16</v>
      </c>
      <c r="C217" s="1" t="s">
        <v>37</v>
      </c>
      <c r="D217" s="1">
        <v>0.0532299979379468</v>
      </c>
      <c r="E217" s="1">
        <v>0.7463593482971191</v>
      </c>
      <c r="F217" s="1">
        <v>0.7106330394744873</v>
      </c>
      <c r="G217" s="1">
        <v>0.7280582189559937</v>
      </c>
      <c r="H217" s="1">
        <v>0.47364513734224206</v>
      </c>
      <c r="I217" s="1">
        <v>0.13382899628252787</v>
      </c>
      <c r="J217" s="1">
        <v>0.1900519673348181</v>
      </c>
      <c r="K217" s="1">
        <v>0.27616926503340755</v>
      </c>
      <c r="L217" s="1">
        <v>0.0</v>
      </c>
      <c r="M217" s="1">
        <v>0.0</v>
      </c>
      <c r="N217" s="1">
        <v>0.7693519592285156</v>
      </c>
      <c r="O217" s="1">
        <v>0.7693519592285156</v>
      </c>
    </row>
    <row r="218" ht="15.75" customHeight="1">
      <c r="A218" s="1" t="s">
        <v>60</v>
      </c>
      <c r="B218" s="1" t="s">
        <v>16</v>
      </c>
      <c r="C218" s="1" t="s">
        <v>38</v>
      </c>
      <c r="D218" s="1">
        <v>0.05489401561795902</v>
      </c>
      <c r="E218" s="1">
        <v>0.7342400550842285</v>
      </c>
      <c r="F218" s="1">
        <v>0.7086325883865356</v>
      </c>
      <c r="G218" s="1">
        <v>0.7212090492248535</v>
      </c>
      <c r="H218" s="1">
        <v>0.5094066570188133</v>
      </c>
      <c r="I218" s="1">
        <v>0.15362318840579708</v>
      </c>
      <c r="J218" s="1">
        <v>0.1939218523878437</v>
      </c>
      <c r="K218" s="1">
        <v>0.28075253256150506</v>
      </c>
      <c r="L218" s="1">
        <v>0.0</v>
      </c>
      <c r="M218" s="1">
        <v>0.0</v>
      </c>
      <c r="N218" s="1">
        <v>0.9999999403953552</v>
      </c>
      <c r="O218" s="1">
        <v>0.9999999403953552</v>
      </c>
    </row>
    <row r="219" ht="15.75" customHeight="1">
      <c r="A219" s="1" t="s">
        <v>60</v>
      </c>
      <c r="B219" s="1" t="s">
        <v>16</v>
      </c>
      <c r="C219" s="1" t="s">
        <v>39</v>
      </c>
      <c r="D219" s="1">
        <v>0.038507729376946735</v>
      </c>
      <c r="E219" s="1">
        <v>0.734266996383667</v>
      </c>
      <c r="F219" s="1">
        <v>0.7083609104156494</v>
      </c>
      <c r="G219" s="1">
        <v>0.7210813760757446</v>
      </c>
      <c r="H219" s="1">
        <v>0.4480135249366019</v>
      </c>
      <c r="I219" s="1">
        <v>0.14733276883996613</v>
      </c>
      <c r="J219" s="1">
        <v>0.1893491124260355</v>
      </c>
      <c r="K219" s="1">
        <v>0.23499577345731193</v>
      </c>
      <c r="L219" s="1">
        <v>0.0</v>
      </c>
      <c r="M219" s="1">
        <v>0.0</v>
      </c>
      <c r="N219" s="1">
        <v>0.9999999403953552</v>
      </c>
      <c r="O219" s="1">
        <v>0.9999999403953552</v>
      </c>
    </row>
    <row r="220" ht="15.75" customHeight="1">
      <c r="A220" s="1" t="s">
        <v>60</v>
      </c>
      <c r="B220" s="1" t="s">
        <v>16</v>
      </c>
      <c r="C220" s="1" t="s">
        <v>40</v>
      </c>
      <c r="D220" s="1">
        <v>0.04530186563480768</v>
      </c>
      <c r="E220" s="1">
        <v>0.7287964820861816</v>
      </c>
      <c r="F220" s="1">
        <v>0.7174278497695923</v>
      </c>
      <c r="G220" s="1">
        <v>0.7230675220489502</v>
      </c>
      <c r="H220" s="1">
        <v>0.472243940578577</v>
      </c>
      <c r="I220" s="1">
        <v>0.13469068128425998</v>
      </c>
      <c r="J220" s="1">
        <v>0.17044566067240033</v>
      </c>
      <c r="K220" s="1">
        <v>0.2611415168100078</v>
      </c>
      <c r="L220" s="1">
        <v>0.0</v>
      </c>
      <c r="M220" s="1">
        <v>0.0</v>
      </c>
      <c r="N220" s="1">
        <v>0.9999999403953552</v>
      </c>
      <c r="O220" s="1">
        <v>0.9999999403953552</v>
      </c>
    </row>
    <row r="221" ht="15.75" customHeight="1">
      <c r="A221" s="1" t="s">
        <v>60</v>
      </c>
      <c r="B221" s="1" t="s">
        <v>16</v>
      </c>
      <c r="C221" s="1" t="s">
        <v>41</v>
      </c>
      <c r="D221" s="1">
        <v>0.026255253648872132</v>
      </c>
      <c r="E221" s="1">
        <v>0.7350645065307617</v>
      </c>
      <c r="F221" s="1">
        <v>0.7220664024353027</v>
      </c>
      <c r="G221" s="1">
        <v>0.7285074591636658</v>
      </c>
      <c r="H221" s="1">
        <v>0.398959236773634</v>
      </c>
      <c r="I221" s="1">
        <v>0.0955690703735882</v>
      </c>
      <c r="J221" s="1">
        <v>0.18733738074588033</v>
      </c>
      <c r="K221" s="1">
        <v>0.22549869904596703</v>
      </c>
      <c r="L221" s="1">
        <v>0.7023138999938965</v>
      </c>
      <c r="M221" s="1">
        <v>0.7023138999938965</v>
      </c>
      <c r="N221" s="1">
        <v>0.7023138999938965</v>
      </c>
      <c r="O221" s="1">
        <v>0.7023138999938965</v>
      </c>
    </row>
    <row r="222" ht="15.75" customHeight="1">
      <c r="A222" s="1" t="s">
        <v>60</v>
      </c>
      <c r="B222" s="1" t="s">
        <v>16</v>
      </c>
      <c r="C222" s="1" t="s">
        <v>42</v>
      </c>
      <c r="D222" s="1">
        <v>0.034913084722044824</v>
      </c>
      <c r="E222" s="1">
        <v>0.7370110750198364</v>
      </c>
      <c r="F222" s="1">
        <v>0.710284948348999</v>
      </c>
      <c r="G222" s="1">
        <v>0.7234012484550476</v>
      </c>
      <c r="H222" s="1">
        <v>0.41379310344827586</v>
      </c>
      <c r="I222" s="1">
        <v>0.13142375737152487</v>
      </c>
      <c r="J222" s="1">
        <v>0.18334735071488648</v>
      </c>
      <c r="K222" s="1">
        <v>0.24558452481076534</v>
      </c>
      <c r="L222" s="1">
        <v>0.0</v>
      </c>
      <c r="M222" s="1">
        <v>0.0</v>
      </c>
      <c r="N222" s="1">
        <v>0.7693519592285156</v>
      </c>
      <c r="O222" s="1">
        <v>0.7693519592285156</v>
      </c>
    </row>
    <row r="223" ht="15.75" customHeight="1">
      <c r="A223" s="1" t="s">
        <v>60</v>
      </c>
      <c r="B223" s="1" t="s">
        <v>16</v>
      </c>
      <c r="C223" s="1" t="s">
        <v>43</v>
      </c>
      <c r="D223" s="1">
        <v>0.0316670195303448</v>
      </c>
      <c r="E223" s="1">
        <v>0.7339168787002563</v>
      </c>
      <c r="F223" s="1">
        <v>0.7219101786613464</v>
      </c>
      <c r="G223" s="1">
        <v>0.7278640270233154</v>
      </c>
      <c r="H223" s="1">
        <v>0.4262295081967213</v>
      </c>
      <c r="I223" s="1">
        <v>0.11330049261083745</v>
      </c>
      <c r="J223" s="1">
        <v>0.1672131147540984</v>
      </c>
      <c r="K223" s="1">
        <v>0.2540983606557377</v>
      </c>
      <c r="L223" s="1">
        <v>0.8271334767341614</v>
      </c>
      <c r="M223" s="1">
        <v>0.8271334767341614</v>
      </c>
      <c r="N223" s="1">
        <v>0.8271334767341614</v>
      </c>
      <c r="O223" s="1">
        <v>0.8271334767341614</v>
      </c>
    </row>
    <row r="224" ht="15.75" customHeight="1">
      <c r="A224" s="1" t="s">
        <v>60</v>
      </c>
      <c r="B224" s="1" t="s">
        <v>16</v>
      </c>
      <c r="C224" s="1" t="s">
        <v>44</v>
      </c>
      <c r="D224" s="1">
        <v>0.02723029221850601</v>
      </c>
      <c r="E224" s="1">
        <v>0.7521703243255615</v>
      </c>
      <c r="F224" s="1">
        <v>0.7175021171569824</v>
      </c>
      <c r="G224" s="1">
        <v>0.7344273328781128</v>
      </c>
      <c r="H224" s="1">
        <v>0.3798882681564246</v>
      </c>
      <c r="I224" s="1">
        <v>0.13432835820895522</v>
      </c>
      <c r="J224" s="1">
        <v>0.16945996275605213</v>
      </c>
      <c r="K224" s="1">
        <v>0.22532588454376162</v>
      </c>
      <c r="L224" s="1">
        <v>0.0</v>
      </c>
      <c r="M224" s="1">
        <v>0.0</v>
      </c>
      <c r="N224" s="1">
        <v>0.7693519592285156</v>
      </c>
      <c r="O224" s="1">
        <v>0.7693519592285156</v>
      </c>
    </row>
    <row r="225" ht="15.75" customHeight="1">
      <c r="A225" s="1" t="s">
        <v>60</v>
      </c>
      <c r="B225" s="1" t="s">
        <v>16</v>
      </c>
      <c r="C225" s="1" t="s">
        <v>45</v>
      </c>
      <c r="D225" s="1">
        <v>0.02723029221850601</v>
      </c>
      <c r="E225" s="1">
        <v>0.7521703243255615</v>
      </c>
      <c r="F225" s="1">
        <v>0.7175021171569824</v>
      </c>
      <c r="G225" s="1">
        <v>0.7344273328781128</v>
      </c>
      <c r="H225" s="1">
        <v>0.3798882681564246</v>
      </c>
      <c r="I225" s="1">
        <v>0.13432835820895522</v>
      </c>
      <c r="J225" s="1">
        <v>0.16945996275605213</v>
      </c>
      <c r="K225" s="1">
        <v>0.22532588454376162</v>
      </c>
      <c r="L225" s="1">
        <v>0.0</v>
      </c>
      <c r="M225" s="1">
        <v>0.0</v>
      </c>
      <c r="N225" s="1">
        <v>0.7693519592285156</v>
      </c>
      <c r="O225" s="1">
        <v>0.7693519592285156</v>
      </c>
    </row>
    <row r="226" ht="15.75" customHeight="1">
      <c r="A226" s="1" t="s">
        <v>60</v>
      </c>
      <c r="B226" s="1" t="s">
        <v>16</v>
      </c>
      <c r="C226" s="1" t="s">
        <v>46</v>
      </c>
      <c r="D226" s="1">
        <v>0.02809783875873312</v>
      </c>
      <c r="E226" s="1">
        <v>0.7391908764839172</v>
      </c>
      <c r="F226" s="1">
        <v>0.7132412791252136</v>
      </c>
      <c r="G226" s="1">
        <v>0.7259842753410339</v>
      </c>
      <c r="H226" s="1">
        <v>0.40463458110516937</v>
      </c>
      <c r="I226" s="1">
        <v>0.13392857142857142</v>
      </c>
      <c r="J226" s="1">
        <v>0.18360071301247774</v>
      </c>
      <c r="K226" s="1">
        <v>0.22816399286987524</v>
      </c>
      <c r="L226" s="1">
        <v>0.0</v>
      </c>
      <c r="M226" s="1">
        <v>0.0</v>
      </c>
      <c r="N226" s="1">
        <v>0.7693519592285156</v>
      </c>
      <c r="O226" s="1">
        <v>0.7693519592285156</v>
      </c>
    </row>
    <row r="227" ht="15.75" customHeight="1">
      <c r="A227" s="1" t="s">
        <v>60</v>
      </c>
      <c r="B227" s="1" t="s">
        <v>16</v>
      </c>
      <c r="C227" s="1" t="s">
        <v>47</v>
      </c>
      <c r="D227" s="1">
        <v>0.04075326844263426</v>
      </c>
      <c r="E227" s="1">
        <v>0.7376173734664917</v>
      </c>
      <c r="F227" s="1">
        <v>0.7148326635360718</v>
      </c>
      <c r="G227" s="1">
        <v>0.7260463237762451</v>
      </c>
      <c r="H227" s="1">
        <v>0.446031746031746</v>
      </c>
      <c r="I227" s="1">
        <v>0.10492845786963434</v>
      </c>
      <c r="J227" s="1">
        <v>0.17936507936507937</v>
      </c>
      <c r="K227" s="1">
        <v>0.26825396825396824</v>
      </c>
      <c r="L227" s="1">
        <v>0.0</v>
      </c>
      <c r="M227" s="1">
        <v>0.0</v>
      </c>
      <c r="N227" s="1">
        <v>0.9999999403953552</v>
      </c>
      <c r="O227" s="1">
        <v>0.9999999403953552</v>
      </c>
    </row>
    <row r="228" ht="15.75" customHeight="1">
      <c r="A228" s="1" t="s">
        <v>60</v>
      </c>
      <c r="B228" s="1" t="s">
        <v>16</v>
      </c>
      <c r="C228" s="1" t="s">
        <v>48</v>
      </c>
      <c r="D228" s="1">
        <v>0.05691796562637647</v>
      </c>
      <c r="E228" s="1">
        <v>0.7429253458976746</v>
      </c>
      <c r="F228" s="1">
        <v>0.7201639413833618</v>
      </c>
      <c r="G228" s="1">
        <v>0.7313675880432129</v>
      </c>
      <c r="H228" s="1">
        <v>0.444078947368421</v>
      </c>
      <c r="I228" s="1">
        <v>0.1301482701812191</v>
      </c>
      <c r="J228" s="1">
        <v>0.18421052631578946</v>
      </c>
      <c r="K228" s="1">
        <v>0.2631578947368421</v>
      </c>
      <c r="L228" s="1">
        <v>0.7023138999938965</v>
      </c>
      <c r="M228" s="1">
        <v>0.7023138999938965</v>
      </c>
      <c r="N228" s="1">
        <v>0.7023138999938965</v>
      </c>
      <c r="O228" s="1">
        <v>0.7023138999938965</v>
      </c>
    </row>
    <row r="229" ht="15.75" customHeight="1">
      <c r="A229" s="1" t="s">
        <v>60</v>
      </c>
      <c r="B229" s="1" t="s">
        <v>16</v>
      </c>
      <c r="C229" s="1" t="s">
        <v>49</v>
      </c>
      <c r="D229" s="1">
        <v>0.04204422280549006</v>
      </c>
      <c r="E229" s="1">
        <v>0.7448868751525879</v>
      </c>
      <c r="F229" s="1">
        <v>0.7149165272712708</v>
      </c>
      <c r="G229" s="1">
        <v>0.7295940518379211</v>
      </c>
      <c r="H229" s="1">
        <v>0.42500000000000004</v>
      </c>
      <c r="I229" s="1">
        <v>0.1001669449081803</v>
      </c>
      <c r="J229" s="1">
        <v>0.17500000000000002</v>
      </c>
      <c r="K229" s="1">
        <v>0.22999999999999995</v>
      </c>
      <c r="L229" s="1">
        <v>0.0</v>
      </c>
      <c r="M229" s="1">
        <v>0.0</v>
      </c>
      <c r="N229" s="1">
        <v>0.9999999403953552</v>
      </c>
      <c r="O229" s="1">
        <v>0.9999999403953552</v>
      </c>
    </row>
    <row r="230" ht="15.75" customHeight="1">
      <c r="A230" s="1" t="s">
        <v>60</v>
      </c>
      <c r="B230" s="1" t="s">
        <v>16</v>
      </c>
      <c r="C230" s="1" t="s">
        <v>50</v>
      </c>
      <c r="D230" s="1">
        <v>0.0287270340476645</v>
      </c>
      <c r="E230" s="1">
        <v>0.6616009473800659</v>
      </c>
      <c r="F230" s="1">
        <v>0.6369695067405701</v>
      </c>
      <c r="G230" s="1">
        <v>0.6490516662597656</v>
      </c>
      <c r="H230" s="1">
        <v>0.3865546218487395</v>
      </c>
      <c r="I230" s="1">
        <v>0.1253507951356408</v>
      </c>
      <c r="J230" s="1">
        <v>0.18300653594771243</v>
      </c>
      <c r="K230" s="1">
        <v>0.20728291316526612</v>
      </c>
      <c r="L230" s="1">
        <v>0.0</v>
      </c>
      <c r="M230" s="1">
        <v>0.0</v>
      </c>
      <c r="N230" s="1">
        <v>0.8277580142021179</v>
      </c>
      <c r="O230" s="1">
        <v>0.8277580142021179</v>
      </c>
    </row>
    <row r="231" ht="15.75" customHeight="1">
      <c r="A231" s="1" t="s">
        <v>60</v>
      </c>
      <c r="B231" s="1" t="s">
        <v>16</v>
      </c>
      <c r="C231" s="1" t="s">
        <v>51</v>
      </c>
      <c r="D231" s="1">
        <v>0.0287270340476645</v>
      </c>
      <c r="E231" s="1">
        <v>0.6616009473800659</v>
      </c>
      <c r="F231" s="1">
        <v>0.6369695067405701</v>
      </c>
      <c r="G231" s="1">
        <v>0.6490516662597656</v>
      </c>
      <c r="H231" s="1">
        <v>0.3865546218487395</v>
      </c>
      <c r="I231" s="1">
        <v>0.1253507951356408</v>
      </c>
      <c r="J231" s="1">
        <v>0.18300653594771243</v>
      </c>
      <c r="K231" s="1">
        <v>0.20728291316526612</v>
      </c>
      <c r="L231" s="1">
        <v>0.0</v>
      </c>
      <c r="M231" s="1">
        <v>0.0</v>
      </c>
      <c r="N231" s="1">
        <v>0.8277580142021179</v>
      </c>
      <c r="O231" s="1">
        <v>0.8277580142021179</v>
      </c>
    </row>
    <row r="232" ht="15.75" customHeight="1">
      <c r="A232" s="1" t="s">
        <v>60</v>
      </c>
      <c r="B232" s="1" t="s">
        <v>16</v>
      </c>
      <c r="C232" s="1" t="s">
        <v>52</v>
      </c>
      <c r="D232" s="1">
        <v>0.03338654572049209</v>
      </c>
      <c r="E232" s="1">
        <v>0.7460365295410156</v>
      </c>
      <c r="F232" s="1">
        <v>0.7021343111991882</v>
      </c>
      <c r="G232" s="1">
        <v>0.7234199047088623</v>
      </c>
      <c r="H232" s="1">
        <v>0.41354723707664887</v>
      </c>
      <c r="I232" s="1">
        <v>0.14642857142857144</v>
      </c>
      <c r="J232" s="1">
        <v>0.19073083778966132</v>
      </c>
      <c r="K232" s="1">
        <v>0.2549019607843137</v>
      </c>
      <c r="L232" s="1">
        <v>0.0</v>
      </c>
      <c r="M232" s="1">
        <v>0.0</v>
      </c>
      <c r="N232" s="1">
        <v>0.8277580142021179</v>
      </c>
      <c r="O232" s="1">
        <v>0.8277580142021179</v>
      </c>
    </row>
    <row r="233" ht="15.75" customHeight="1">
      <c r="A233" s="1" t="s">
        <v>60</v>
      </c>
      <c r="B233" s="1" t="s">
        <v>16</v>
      </c>
      <c r="C233" s="1" t="s">
        <v>53</v>
      </c>
      <c r="D233" s="1">
        <v>0.06159405278311326</v>
      </c>
      <c r="E233" s="1">
        <v>0.7569851279258728</v>
      </c>
      <c r="F233" s="1">
        <v>0.735637903213501</v>
      </c>
      <c r="G233" s="1">
        <v>0.7461588382720947</v>
      </c>
      <c r="H233" s="1">
        <v>0.5266362252663623</v>
      </c>
      <c r="I233" s="1">
        <v>0.19207317073170732</v>
      </c>
      <c r="J233" s="1">
        <v>0.1933028919330289</v>
      </c>
      <c r="K233" s="1">
        <v>0.2785388127853881</v>
      </c>
      <c r="L233" s="1">
        <v>0.0</v>
      </c>
      <c r="M233" s="1">
        <v>0.0</v>
      </c>
      <c r="N233" s="1">
        <v>0.9999999403953552</v>
      </c>
      <c r="O233" s="1">
        <v>0.9999999403953552</v>
      </c>
    </row>
    <row r="234" ht="15.75" customHeight="1">
      <c r="A234" s="1" t="s">
        <v>60</v>
      </c>
      <c r="B234" s="1" t="s">
        <v>16</v>
      </c>
      <c r="C234" s="1" t="s">
        <v>54</v>
      </c>
      <c r="D234" s="1">
        <v>0.07140954331261277</v>
      </c>
      <c r="E234" s="1">
        <v>0.7513466477394104</v>
      </c>
      <c r="F234" s="1">
        <v>0.7315009832382202</v>
      </c>
      <c r="G234" s="1">
        <v>0.7412909865379333</v>
      </c>
      <c r="H234" s="1">
        <v>0.5465587044534412</v>
      </c>
      <c r="I234" s="1">
        <v>0.16216216216216214</v>
      </c>
      <c r="J234" s="1">
        <v>0.19433198380566802</v>
      </c>
      <c r="K234" s="1">
        <v>0.27125506072874495</v>
      </c>
      <c r="L234" s="1">
        <v>0.0</v>
      </c>
      <c r="M234" s="1">
        <v>0.0</v>
      </c>
      <c r="N234" s="1">
        <v>0.9999999403953552</v>
      </c>
      <c r="O234" s="1">
        <v>0.9999999403953552</v>
      </c>
    </row>
    <row r="235" ht="15.75" customHeight="1">
      <c r="A235" s="1" t="s">
        <v>60</v>
      </c>
      <c r="B235" s="1" t="s">
        <v>16</v>
      </c>
      <c r="C235" s="1" t="s">
        <v>55</v>
      </c>
      <c r="D235" s="1">
        <v>0.0693677572808212</v>
      </c>
      <c r="E235" s="1">
        <v>0.7482932209968567</v>
      </c>
      <c r="F235" s="1">
        <v>0.7243104577064514</v>
      </c>
      <c r="G235" s="1">
        <v>0.7361065149307251</v>
      </c>
      <c r="H235" s="1">
        <v>0.5492451473759885</v>
      </c>
      <c r="I235" s="1">
        <v>0.18718502519798416</v>
      </c>
      <c r="J235" s="1">
        <v>0.19841840402588068</v>
      </c>
      <c r="K235" s="1">
        <v>0.30050323508267435</v>
      </c>
      <c r="L235" s="1">
        <v>0.0</v>
      </c>
      <c r="M235" s="1">
        <v>0.0</v>
      </c>
      <c r="N235" s="1">
        <v>0.9999999403953552</v>
      </c>
      <c r="O235" s="1">
        <v>0.9999999403953552</v>
      </c>
    </row>
    <row r="236" ht="15.75" customHeight="1"/>
    <row r="237" ht="15.75" customHeight="1">
      <c r="C237" s="2"/>
    </row>
    <row r="238" ht="15.75" customHeight="1"/>
    <row r="239" ht="15.75" customHeight="1"/>
    <row r="240" ht="15.75" customHeight="1"/>
    <row r="241" ht="15.75" customHeight="1">
      <c r="B241" s="3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scale="17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3.43"/>
    <col customWidth="1" min="5" max="5" width="21.86"/>
    <col customWidth="1" min="6" max="6" width="18.86"/>
    <col customWidth="1" min="7" max="7" width="15.57"/>
    <col customWidth="1" min="8" max="10" width="12.0"/>
    <col customWidth="1" min="11" max="11" width="13.0"/>
    <col customWidth="1" min="12" max="12" width="18.0"/>
    <col customWidth="1" min="13" max="13" width="21.71"/>
    <col customWidth="1" min="14" max="14" width="13.57"/>
    <col customWidth="1" min="15" max="15" width="17.29"/>
    <col customWidth="1" min="16" max="44" width="8.7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/>
      <c r="Q1" s="6" t="s">
        <v>61</v>
      </c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>
      <c r="A2" s="7" t="s">
        <v>15</v>
      </c>
      <c r="B2" s="7" t="s">
        <v>16</v>
      </c>
      <c r="C2" s="7" t="s">
        <v>20</v>
      </c>
      <c r="D2" s="8">
        <v>0.07025799622039959</v>
      </c>
      <c r="E2" s="8">
        <v>0.739550769329071</v>
      </c>
      <c r="F2" s="8">
        <v>0.738888680934906</v>
      </c>
      <c r="G2" s="8">
        <v>0.7392195463180542</v>
      </c>
      <c r="H2" s="8">
        <v>0.5101796407185629</v>
      </c>
      <c r="I2" s="8">
        <v>0.16906474820143885</v>
      </c>
      <c r="J2" s="8">
        <v>0.18562874251497008</v>
      </c>
      <c r="K2" s="8">
        <v>0.28263473053892213</v>
      </c>
      <c r="L2" s="8">
        <v>0.0</v>
      </c>
      <c r="M2" s="8">
        <v>0.0</v>
      </c>
      <c r="N2" s="8">
        <v>0.9999999403953552</v>
      </c>
      <c r="O2" s="8">
        <v>0.8271334767341614</v>
      </c>
      <c r="P2" s="5"/>
      <c r="Q2" s="9" t="s">
        <v>62</v>
      </c>
      <c r="R2" s="9" t="s">
        <v>63</v>
      </c>
      <c r="S2" s="9" t="s">
        <v>64</v>
      </c>
      <c r="T2" s="9" t="s">
        <v>65</v>
      </c>
      <c r="U2" s="9" t="s">
        <v>66</v>
      </c>
      <c r="V2" s="9" t="s">
        <v>67</v>
      </c>
      <c r="W2" s="9" t="s">
        <v>68</v>
      </c>
      <c r="X2" s="9" t="s">
        <v>69</v>
      </c>
      <c r="Y2" s="9" t="s">
        <v>70</v>
      </c>
      <c r="Z2" s="9" t="s">
        <v>71</v>
      </c>
      <c r="AA2" s="9" t="s">
        <v>72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</row>
    <row r="3">
      <c r="A3" s="10" t="s">
        <v>56</v>
      </c>
      <c r="B3" s="10" t="s">
        <v>16</v>
      </c>
      <c r="C3" s="10" t="s">
        <v>20</v>
      </c>
      <c r="D3" s="11">
        <v>0.04869662287479269</v>
      </c>
      <c r="E3" s="11">
        <v>0.7141472101211548</v>
      </c>
      <c r="F3" s="11">
        <v>0.6972258687019348</v>
      </c>
      <c r="G3" s="11">
        <v>0.7055850625038147</v>
      </c>
      <c r="H3" s="11">
        <v>0.4552745219000616</v>
      </c>
      <c r="I3" s="11">
        <v>0.12353304508956146</v>
      </c>
      <c r="J3" s="11">
        <v>0.17396668723010486</v>
      </c>
      <c r="K3" s="11">
        <v>0.27760641579272055</v>
      </c>
      <c r="L3" s="11">
        <v>0.0</v>
      </c>
      <c r="M3" s="11">
        <v>0.0</v>
      </c>
      <c r="N3" s="11">
        <v>0.9999999403953552</v>
      </c>
      <c r="O3" s="11">
        <v>0.5545380711555481</v>
      </c>
      <c r="P3" s="5"/>
      <c r="Q3" s="5" t="s">
        <v>73</v>
      </c>
      <c r="R3" s="12">
        <f t="shared" ref="R3:Y3" si="1">AVERAGE(D2:D7)</f>
        <v>0.0610244371</v>
      </c>
      <c r="S3" s="12">
        <f t="shared" si="1"/>
        <v>0.7239299417</v>
      </c>
      <c r="T3" s="12">
        <f t="shared" si="1"/>
        <v>0.7169975539</v>
      </c>
      <c r="U3" s="12">
        <f t="shared" si="1"/>
        <v>0.7204318543</v>
      </c>
      <c r="V3" s="12">
        <f t="shared" si="1"/>
        <v>0.4767521105</v>
      </c>
      <c r="W3" s="12">
        <f t="shared" si="1"/>
        <v>0.1353226254</v>
      </c>
      <c r="X3" s="12">
        <f t="shared" si="1"/>
        <v>0.1863260645</v>
      </c>
      <c r="Y3" s="12">
        <f t="shared" si="1"/>
        <v>0.2742142979</v>
      </c>
      <c r="Z3" s="12">
        <f t="shared" ref="Z3:AA3" si="2">AVERAGE(N2:N7)</f>
        <v>0.9999999404</v>
      </c>
      <c r="AA3" s="12">
        <f t="shared" si="2"/>
        <v>0.8969452182</v>
      </c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</row>
    <row r="4">
      <c r="A4" s="7" t="s">
        <v>57</v>
      </c>
      <c r="B4" s="7" t="s">
        <v>16</v>
      </c>
      <c r="C4" s="7" t="s">
        <v>20</v>
      </c>
      <c r="D4" s="8">
        <v>0.06763446999236523</v>
      </c>
      <c r="E4" s="8">
        <v>0.7331551909446716</v>
      </c>
      <c r="F4" s="8">
        <v>0.7267712950706482</v>
      </c>
      <c r="G4" s="8">
        <v>0.7299492955207825</v>
      </c>
      <c r="H4" s="8">
        <v>0.4786215698787492</v>
      </c>
      <c r="I4" s="8">
        <v>0.14185303514376996</v>
      </c>
      <c r="J4" s="8">
        <v>0.20038289725590303</v>
      </c>
      <c r="K4" s="8">
        <v>0.27185705169112956</v>
      </c>
      <c r="L4" s="8">
        <v>0.0</v>
      </c>
      <c r="M4" s="8">
        <v>0.0</v>
      </c>
      <c r="N4" s="8">
        <v>0.9999999403953552</v>
      </c>
      <c r="O4" s="8">
        <v>0.9999999403953552</v>
      </c>
      <c r="P4" s="5"/>
      <c r="Q4" s="5" t="s">
        <v>74</v>
      </c>
      <c r="R4" s="12">
        <f t="shared" ref="R4:Y4" si="3">AVERAGE(D8:D13)</f>
        <v>0.06958930376</v>
      </c>
      <c r="S4" s="12">
        <f t="shared" si="3"/>
        <v>0.7299664021</v>
      </c>
      <c r="T4" s="12">
        <f t="shared" si="3"/>
        <v>0.72712937</v>
      </c>
      <c r="U4" s="12">
        <f t="shared" si="3"/>
        <v>0.7285334766</v>
      </c>
      <c r="V4" s="12">
        <f t="shared" si="3"/>
        <v>0.4945503178</v>
      </c>
      <c r="W4" s="12">
        <f t="shared" si="3"/>
        <v>0.1423231566</v>
      </c>
      <c r="X4" s="12">
        <f t="shared" si="3"/>
        <v>0.1976261399</v>
      </c>
      <c r="Y4" s="12">
        <f t="shared" si="3"/>
        <v>0.2816123622</v>
      </c>
      <c r="Z4" s="12">
        <f t="shared" ref="Z4:AA4" si="4">AVERAGE(N8:N13)</f>
        <v>0.9999999404</v>
      </c>
      <c r="AA4" s="12">
        <f t="shared" si="4"/>
        <v>0.8969452182</v>
      </c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>
      <c r="A5" s="10" t="s">
        <v>58</v>
      </c>
      <c r="B5" s="10" t="s">
        <v>16</v>
      </c>
      <c r="C5" s="10" t="s">
        <v>20</v>
      </c>
      <c r="D5" s="11">
        <v>0.03984220399088658</v>
      </c>
      <c r="E5" s="11">
        <v>0.7135390043258667</v>
      </c>
      <c r="F5" s="11">
        <v>0.7130484580993652</v>
      </c>
      <c r="G5" s="11">
        <v>0.7132936120033264</v>
      </c>
      <c r="H5" s="11">
        <v>0.4507628294036061</v>
      </c>
      <c r="I5" s="11">
        <v>0.10833333333333334</v>
      </c>
      <c r="J5" s="11">
        <v>0.18030513176144244</v>
      </c>
      <c r="K5" s="11">
        <v>0.24271844660194172</v>
      </c>
      <c r="L5" s="11">
        <v>0.0</v>
      </c>
      <c r="M5" s="11">
        <v>0.0</v>
      </c>
      <c r="N5" s="11">
        <v>0.9999999403953552</v>
      </c>
      <c r="O5" s="11">
        <v>0.9999999403953552</v>
      </c>
      <c r="P5" s="5"/>
      <c r="Q5" s="5" t="s">
        <v>75</v>
      </c>
      <c r="R5" s="12">
        <f t="shared" ref="R5:Y5" si="5">AVERAGE(D14:D19)</f>
        <v>0.06045340109</v>
      </c>
      <c r="S5" s="12">
        <f t="shared" si="5"/>
        <v>0.7390695115</v>
      </c>
      <c r="T5" s="12">
        <f t="shared" si="5"/>
        <v>0.7276336352</v>
      </c>
      <c r="U5" s="12">
        <f t="shared" si="5"/>
        <v>0.7332957387</v>
      </c>
      <c r="V5" s="12">
        <f t="shared" si="5"/>
        <v>0.4799527812</v>
      </c>
      <c r="W5" s="12">
        <f t="shared" si="5"/>
        <v>0.1262750271</v>
      </c>
      <c r="X5" s="12">
        <f t="shared" si="5"/>
        <v>0.1897680488</v>
      </c>
      <c r="Y5" s="12">
        <f t="shared" si="5"/>
        <v>0.279846802</v>
      </c>
      <c r="Z5" s="12">
        <f t="shared" ref="Z5:AA5" si="6">AVERAGE(N14:N19)</f>
        <v>0.9999999404</v>
      </c>
      <c r="AA5" s="12">
        <f t="shared" si="6"/>
        <v>0.8969452182</v>
      </c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</row>
    <row r="6">
      <c r="A6" s="7" t="s">
        <v>59</v>
      </c>
      <c r="B6" s="7" t="s">
        <v>16</v>
      </c>
      <c r="C6" s="7" t="s">
        <v>20</v>
      </c>
      <c r="D6" s="8">
        <v>0.06579861585490517</v>
      </c>
      <c r="E6" s="8">
        <v>0.7074922323226929</v>
      </c>
      <c r="F6" s="8">
        <v>0.7049862146377563</v>
      </c>
      <c r="G6" s="8">
        <v>0.7062370181083679</v>
      </c>
      <c r="H6" s="8">
        <v>0.45050215208034433</v>
      </c>
      <c r="I6" s="8">
        <v>0.11925287356321838</v>
      </c>
      <c r="J6" s="8">
        <v>0.1807747489239598</v>
      </c>
      <c r="K6" s="8">
        <v>0.2697274031563845</v>
      </c>
      <c r="L6" s="8">
        <v>0.0</v>
      </c>
      <c r="M6" s="8">
        <v>0.0</v>
      </c>
      <c r="N6" s="8">
        <v>0.9999999403953552</v>
      </c>
      <c r="O6" s="8">
        <v>0.9999999403953552</v>
      </c>
      <c r="P6" s="5"/>
      <c r="Q6" s="5" t="s">
        <v>23</v>
      </c>
      <c r="R6" s="12">
        <f t="shared" ref="R6:Y6" si="7">AVERAGE(D20:D25)</f>
        <v>0.05069959357</v>
      </c>
      <c r="S6" s="12">
        <f t="shared" si="7"/>
        <v>0.7362134755</v>
      </c>
      <c r="T6" s="12">
        <f t="shared" si="7"/>
        <v>0.7227839828</v>
      </c>
      <c r="U6" s="12">
        <f t="shared" si="7"/>
        <v>0.7294202348</v>
      </c>
      <c r="V6" s="12">
        <f t="shared" si="7"/>
        <v>0.4585788696</v>
      </c>
      <c r="W6" s="12">
        <f t="shared" si="7"/>
        <v>0.1236132873</v>
      </c>
      <c r="X6" s="12">
        <f t="shared" si="7"/>
        <v>0.1848775335</v>
      </c>
      <c r="Y6" s="12">
        <f t="shared" si="7"/>
        <v>0.270552975</v>
      </c>
      <c r="Z6" s="12">
        <f t="shared" ref="Z6:AA6" si="8">AVERAGE(N20:N25)</f>
        <v>0.9999999404</v>
      </c>
      <c r="AA6" s="12">
        <f t="shared" si="8"/>
        <v>0.8969452182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>
      <c r="A7" s="10" t="s">
        <v>60</v>
      </c>
      <c r="B7" s="10" t="s">
        <v>16</v>
      </c>
      <c r="C7" s="10" t="s">
        <v>20</v>
      </c>
      <c r="D7" s="11">
        <v>0.0739167136393035</v>
      </c>
      <c r="E7" s="11">
        <v>0.7356952428817749</v>
      </c>
      <c r="F7" s="11">
        <v>0.7210648059844971</v>
      </c>
      <c r="G7" s="11">
        <v>0.7283065915107727</v>
      </c>
      <c r="H7" s="11">
        <v>0.5151719487525287</v>
      </c>
      <c r="I7" s="11">
        <v>0.14989871708305197</v>
      </c>
      <c r="J7" s="11">
        <v>0.19689817936614967</v>
      </c>
      <c r="K7" s="11">
        <v>0.3007417397167903</v>
      </c>
      <c r="L7" s="11">
        <v>0.0</v>
      </c>
      <c r="M7" s="11">
        <v>0.0</v>
      </c>
      <c r="N7" s="11">
        <v>0.9999999403953552</v>
      </c>
      <c r="O7" s="11">
        <v>0.9999999403953552</v>
      </c>
      <c r="P7" s="5"/>
      <c r="Q7" s="5" t="s">
        <v>24</v>
      </c>
      <c r="R7" s="12">
        <f t="shared" ref="R7:Y7" si="9">AVERAGE(D26:D31)</f>
        <v>0.04987631112</v>
      </c>
      <c r="S7" s="12">
        <f t="shared" si="9"/>
        <v>0.7391695877</v>
      </c>
      <c r="T7" s="12">
        <f t="shared" si="9"/>
        <v>0.7240496377</v>
      </c>
      <c r="U7" s="12">
        <f t="shared" si="9"/>
        <v>0.7315146228</v>
      </c>
      <c r="V7" s="12">
        <f t="shared" si="9"/>
        <v>0.4544512784</v>
      </c>
      <c r="W7" s="12">
        <f t="shared" si="9"/>
        <v>0.124744386</v>
      </c>
      <c r="X7" s="12">
        <f t="shared" si="9"/>
        <v>0.1840719667</v>
      </c>
      <c r="Y7" s="12">
        <f t="shared" si="9"/>
        <v>0.2716678068</v>
      </c>
      <c r="Z7" s="12">
        <f t="shared" ref="Z7:AA7" si="10">AVERAGE(N26:N31)</f>
        <v>0.9999999404</v>
      </c>
      <c r="AA7" s="12">
        <f t="shared" si="10"/>
        <v>0.8969452182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</row>
    <row r="8">
      <c r="A8" s="7" t="s">
        <v>15</v>
      </c>
      <c r="B8" s="7" t="s">
        <v>16</v>
      </c>
      <c r="C8" s="7" t="s">
        <v>21</v>
      </c>
      <c r="D8" s="8">
        <v>0.07154966422492529</v>
      </c>
      <c r="E8" s="8">
        <v>0.7374701499938965</v>
      </c>
      <c r="F8" s="8">
        <v>0.7393552660942078</v>
      </c>
      <c r="G8" s="8">
        <v>0.7384114861488342</v>
      </c>
      <c r="H8" s="8">
        <v>0.5063001145475372</v>
      </c>
      <c r="I8" s="8">
        <v>0.1513761467889908</v>
      </c>
      <c r="J8" s="8">
        <v>0.2027491408934708</v>
      </c>
      <c r="K8" s="8">
        <v>0.27720504009163804</v>
      </c>
      <c r="L8" s="8">
        <v>0.0</v>
      </c>
      <c r="M8" s="8">
        <v>0.0</v>
      </c>
      <c r="N8" s="8">
        <v>0.9999999403953552</v>
      </c>
      <c r="O8" s="8">
        <v>0.8271334767341614</v>
      </c>
      <c r="P8" s="5"/>
      <c r="Q8" s="5" t="s">
        <v>25</v>
      </c>
      <c r="R8" s="12">
        <f t="shared" ref="R8:Y8" si="11">AVERAGE(D32:D37)</f>
        <v>0.04987631112</v>
      </c>
      <c r="S8" s="12">
        <f t="shared" si="11"/>
        <v>0.7391695877</v>
      </c>
      <c r="T8" s="12">
        <f t="shared" si="11"/>
        <v>0.7240496377</v>
      </c>
      <c r="U8" s="12">
        <f t="shared" si="11"/>
        <v>0.7315146228</v>
      </c>
      <c r="V8" s="12">
        <f t="shared" si="11"/>
        <v>0.4544512784</v>
      </c>
      <c r="W8" s="12">
        <f t="shared" si="11"/>
        <v>0.124744386</v>
      </c>
      <c r="X8" s="12">
        <f t="shared" si="11"/>
        <v>0.1840719667</v>
      </c>
      <c r="Y8" s="12">
        <f t="shared" si="11"/>
        <v>0.2716678068</v>
      </c>
      <c r="Z8" s="12">
        <f t="shared" ref="Z8:AA8" si="12">AVERAGE(N32:N37)</f>
        <v>0.9999999404</v>
      </c>
      <c r="AA8" s="12">
        <f t="shared" si="12"/>
        <v>0.8969452182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</row>
    <row r="9">
      <c r="A9" s="10" t="s">
        <v>56</v>
      </c>
      <c r="B9" s="10" t="s">
        <v>16</v>
      </c>
      <c r="C9" s="10" t="s">
        <v>21</v>
      </c>
      <c r="D9" s="11">
        <v>0.05895891767456932</v>
      </c>
      <c r="E9" s="11">
        <v>0.7172750234603882</v>
      </c>
      <c r="F9" s="11">
        <v>0.708884596824646</v>
      </c>
      <c r="G9" s="11">
        <v>0.7130551338195801</v>
      </c>
      <c r="H9" s="11">
        <v>0.4737772539776075</v>
      </c>
      <c r="I9" s="11">
        <v>0.11563421828908556</v>
      </c>
      <c r="J9" s="11">
        <v>0.19210371243370655</v>
      </c>
      <c r="K9" s="11">
        <v>0.27578078962875663</v>
      </c>
      <c r="L9" s="11">
        <v>0.0</v>
      </c>
      <c r="M9" s="11">
        <v>0.0</v>
      </c>
      <c r="N9" s="11">
        <v>0.9999999403953552</v>
      </c>
      <c r="O9" s="11">
        <v>0.5545380711555481</v>
      </c>
      <c r="P9" s="5"/>
      <c r="Q9" s="5" t="s">
        <v>26</v>
      </c>
      <c r="R9" s="12">
        <f t="shared" ref="R9:Y9" si="13">AVERAGE(D38:D43)</f>
        <v>0.0608592362</v>
      </c>
      <c r="S9" s="12">
        <f t="shared" si="13"/>
        <v>0.7459100783</v>
      </c>
      <c r="T9" s="12">
        <f t="shared" si="13"/>
        <v>0.7316529453</v>
      </c>
      <c r="U9" s="12">
        <f t="shared" si="13"/>
        <v>0.7386916379</v>
      </c>
      <c r="V9" s="12">
        <f t="shared" si="13"/>
        <v>0.4786058206</v>
      </c>
      <c r="W9" s="12">
        <f t="shared" si="13"/>
        <v>0.1363100414</v>
      </c>
      <c r="X9" s="12">
        <f t="shared" si="13"/>
        <v>0.2064516071</v>
      </c>
      <c r="Y9" s="12">
        <f t="shared" si="13"/>
        <v>0.2629703403</v>
      </c>
      <c r="Z9" s="12">
        <f t="shared" ref="Z9:AA9" si="14">AVERAGE(N38:N43)</f>
        <v>0.9999999404</v>
      </c>
      <c r="AA9" s="12">
        <f t="shared" si="14"/>
        <v>0.8969452182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</row>
    <row r="10">
      <c r="A10" s="7" t="s">
        <v>57</v>
      </c>
      <c r="B10" s="7" t="s">
        <v>16</v>
      </c>
      <c r="C10" s="7" t="s">
        <v>21</v>
      </c>
      <c r="D10" s="8">
        <v>0.07568502934370488</v>
      </c>
      <c r="E10" s="8">
        <v>0.7353314161300659</v>
      </c>
      <c r="F10" s="8">
        <v>0.7317997217178345</v>
      </c>
      <c r="G10" s="8">
        <v>0.7335613369941711</v>
      </c>
      <c r="H10" s="8">
        <v>0.5136944613511868</v>
      </c>
      <c r="I10" s="8">
        <v>0.1450335161486898</v>
      </c>
      <c r="J10" s="8">
        <v>0.21180766889835667</v>
      </c>
      <c r="K10" s="8">
        <v>0.2726719415702982</v>
      </c>
      <c r="L10" s="8">
        <v>0.0</v>
      </c>
      <c r="M10" s="8">
        <v>0.0</v>
      </c>
      <c r="N10" s="8">
        <v>0.9999999403953552</v>
      </c>
      <c r="O10" s="8">
        <v>0.9999999403953552</v>
      </c>
      <c r="P10" s="5"/>
      <c r="Q10" s="5" t="s">
        <v>27</v>
      </c>
      <c r="R10" s="12">
        <f t="shared" ref="R10:Y10" si="15">AVERAGE(D44:D49)</f>
        <v>0.05966355833</v>
      </c>
      <c r="S10" s="12">
        <f t="shared" si="15"/>
        <v>0.7489370604</v>
      </c>
      <c r="T10" s="12">
        <f t="shared" si="15"/>
        <v>0.7320352197</v>
      </c>
      <c r="U10" s="12">
        <f t="shared" si="15"/>
        <v>0.740371863</v>
      </c>
      <c r="V10" s="12">
        <f t="shared" si="15"/>
        <v>0.4828434696</v>
      </c>
      <c r="W10" s="12">
        <f t="shared" si="15"/>
        <v>0.1401008007</v>
      </c>
      <c r="X10" s="12">
        <f t="shared" si="15"/>
        <v>0.2076544296</v>
      </c>
      <c r="Y10" s="12">
        <f t="shared" si="15"/>
        <v>0.2629131245</v>
      </c>
      <c r="Z10" s="12">
        <f t="shared" ref="Z10:AA10" si="16">AVERAGE(N44:N49)</f>
        <v>0.9999999404</v>
      </c>
      <c r="AA10" s="12">
        <f t="shared" si="16"/>
        <v>0.8969452182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</row>
    <row r="11">
      <c r="A11" s="10" t="s">
        <v>58</v>
      </c>
      <c r="B11" s="10" t="s">
        <v>16</v>
      </c>
      <c r="C11" s="10" t="s">
        <v>21</v>
      </c>
      <c r="D11" s="11">
        <v>0.05635812929716088</v>
      </c>
      <c r="E11" s="11">
        <v>0.7234007716178894</v>
      </c>
      <c r="F11" s="11">
        <v>0.7280128002166748</v>
      </c>
      <c r="G11" s="11">
        <v>0.7256994247436523</v>
      </c>
      <c r="H11" s="11">
        <v>0.4598155467720685</v>
      </c>
      <c r="I11" s="11">
        <v>0.11741424802110817</v>
      </c>
      <c r="J11" s="11">
        <v>0.1857707509881423</v>
      </c>
      <c r="K11" s="11">
        <v>0.2793148880105402</v>
      </c>
      <c r="L11" s="11">
        <v>0.0</v>
      </c>
      <c r="M11" s="11">
        <v>0.0</v>
      </c>
      <c r="N11" s="11">
        <v>0.9999999403953552</v>
      </c>
      <c r="O11" s="11">
        <v>0.9999999403953552</v>
      </c>
      <c r="P11" s="5"/>
      <c r="Q11" s="5" t="s">
        <v>28</v>
      </c>
      <c r="R11" s="12">
        <f t="shared" ref="R11:Y11" si="17">AVERAGE(D50:D55)</f>
        <v>0.05554894719</v>
      </c>
      <c r="S11" s="12">
        <f t="shared" si="17"/>
        <v>0.7481668194</v>
      </c>
      <c r="T11" s="12">
        <f t="shared" si="17"/>
        <v>0.7320815325</v>
      </c>
      <c r="U11" s="12">
        <f t="shared" si="17"/>
        <v>0.7400182684</v>
      </c>
      <c r="V11" s="12">
        <f t="shared" si="17"/>
        <v>0.4764535524</v>
      </c>
      <c r="W11" s="12">
        <f t="shared" si="17"/>
        <v>0.1402537896</v>
      </c>
      <c r="X11" s="12">
        <f t="shared" si="17"/>
        <v>0.2044400181</v>
      </c>
      <c r="Y11" s="12">
        <f t="shared" si="17"/>
        <v>0.2668642133</v>
      </c>
      <c r="Z11" s="12">
        <f t="shared" ref="Z11:AA11" si="18">AVERAGE(N50:N55)</f>
        <v>0.9999999404</v>
      </c>
      <c r="AA11" s="12">
        <f t="shared" si="18"/>
        <v>0.8969452182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</row>
    <row r="12">
      <c r="A12" s="7" t="s">
        <v>59</v>
      </c>
      <c r="B12" s="7" t="s">
        <v>16</v>
      </c>
      <c r="C12" s="7" t="s">
        <v>21</v>
      </c>
      <c r="D12" s="8">
        <v>0.06529511892112291</v>
      </c>
      <c r="E12" s="8">
        <v>0.7244020700454712</v>
      </c>
      <c r="F12" s="8">
        <v>0.7248040437698364</v>
      </c>
      <c r="G12" s="8">
        <v>0.724602997303009</v>
      </c>
      <c r="H12" s="8">
        <v>0.4761904761904762</v>
      </c>
      <c r="I12" s="8">
        <v>0.14850136239782016</v>
      </c>
      <c r="J12" s="8">
        <v>0.19319727891156463</v>
      </c>
      <c r="K12" s="8">
        <v>0.28707482993197275</v>
      </c>
      <c r="L12" s="8">
        <v>0.0</v>
      </c>
      <c r="M12" s="8">
        <v>0.0</v>
      </c>
      <c r="N12" s="8">
        <v>0.9999999403953552</v>
      </c>
      <c r="O12" s="8">
        <v>0.9999999403953552</v>
      </c>
      <c r="P12" s="5"/>
      <c r="Q12" s="5" t="s">
        <v>17</v>
      </c>
      <c r="R12" s="12">
        <f t="shared" ref="R12:Y12" si="19">AVERAGE(D56:D61)</f>
        <v>0.07400453087</v>
      </c>
      <c r="S12" s="12">
        <f t="shared" si="19"/>
        <v>0.7413303455</v>
      </c>
      <c r="T12" s="12">
        <f t="shared" si="19"/>
        <v>0.7353551984</v>
      </c>
      <c r="U12" s="12">
        <f t="shared" si="19"/>
        <v>0.7383191884</v>
      </c>
      <c r="V12" s="12">
        <f t="shared" si="19"/>
        <v>0.4939626224</v>
      </c>
      <c r="W12" s="12">
        <f t="shared" si="19"/>
        <v>0.1523403508</v>
      </c>
      <c r="X12" s="12">
        <f t="shared" si="19"/>
        <v>0.1867656501</v>
      </c>
      <c r="Y12" s="12">
        <f t="shared" si="19"/>
        <v>0.2685022828</v>
      </c>
      <c r="Z12" s="12">
        <f t="shared" ref="Z12:AA12" si="20">AVERAGE(N56:N61)</f>
        <v>0.9999999404</v>
      </c>
      <c r="AA12" s="12">
        <f t="shared" si="20"/>
        <v>0.8969452182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</row>
    <row r="13">
      <c r="A13" s="10" t="s">
        <v>60</v>
      </c>
      <c r="B13" s="10" t="s">
        <v>16</v>
      </c>
      <c r="C13" s="10" t="s">
        <v>21</v>
      </c>
      <c r="D13" s="11">
        <v>0.08968896310691768</v>
      </c>
      <c r="E13" s="11">
        <v>0.7419189810752869</v>
      </c>
      <c r="F13" s="11">
        <v>0.7299197912216187</v>
      </c>
      <c r="G13" s="11">
        <v>0.7358704805374146</v>
      </c>
      <c r="H13" s="11">
        <v>0.5375240538806928</v>
      </c>
      <c r="I13" s="11">
        <v>0.17597944765574824</v>
      </c>
      <c r="J13" s="11">
        <v>0.20012828736369467</v>
      </c>
      <c r="K13" s="11">
        <v>0.29762668377164847</v>
      </c>
      <c r="L13" s="11">
        <v>0.0</v>
      </c>
      <c r="M13" s="11">
        <v>0.0</v>
      </c>
      <c r="N13" s="11">
        <v>0.9999999403953552</v>
      </c>
      <c r="O13" s="11">
        <v>0.9999999403953552</v>
      </c>
      <c r="P13" s="5"/>
      <c r="Q13" s="5" t="s">
        <v>18</v>
      </c>
      <c r="R13" s="12">
        <f t="shared" ref="R13:Y13" si="21">AVERAGE(D62:D67)</f>
        <v>0.07530914358</v>
      </c>
      <c r="S13" s="12">
        <f t="shared" si="21"/>
        <v>0.7441793382</v>
      </c>
      <c r="T13" s="12">
        <f t="shared" si="21"/>
        <v>0.7369019886</v>
      </c>
      <c r="U13" s="12">
        <f t="shared" si="21"/>
        <v>0.7405053079</v>
      </c>
      <c r="V13" s="12">
        <f t="shared" si="21"/>
        <v>0.4947260064</v>
      </c>
      <c r="W13" s="12">
        <f t="shared" si="21"/>
        <v>0.1508670286</v>
      </c>
      <c r="X13" s="12">
        <f t="shared" si="21"/>
        <v>0.1879584491</v>
      </c>
      <c r="Y13" s="12">
        <f t="shared" si="21"/>
        <v>0.2693195524</v>
      </c>
      <c r="Z13" s="12">
        <f t="shared" ref="Z13:AA13" si="22">AVERAGE(N62:N67)</f>
        <v>0.9999999404</v>
      </c>
      <c r="AA13" s="12">
        <f t="shared" si="22"/>
        <v>0.8969452182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>
      <c r="A14" s="7" t="s">
        <v>15</v>
      </c>
      <c r="B14" s="7" t="s">
        <v>16</v>
      </c>
      <c r="C14" s="7" t="s">
        <v>22</v>
      </c>
      <c r="D14" s="8">
        <v>0.06018273857884317</v>
      </c>
      <c r="E14" s="8">
        <v>0.7506675720214844</v>
      </c>
      <c r="F14" s="8">
        <v>0.7439956665039062</v>
      </c>
      <c r="G14" s="8">
        <v>0.7473167777061462</v>
      </c>
      <c r="H14" s="8">
        <v>0.485207100591716</v>
      </c>
      <c r="I14" s="8">
        <v>0.13744075829383887</v>
      </c>
      <c r="J14" s="8">
        <v>0.1905325443786982</v>
      </c>
      <c r="K14" s="8">
        <v>0.2923076923076923</v>
      </c>
      <c r="L14" s="8">
        <v>0.0</v>
      </c>
      <c r="M14" s="8">
        <v>0.0</v>
      </c>
      <c r="N14" s="8">
        <v>0.9999999403953552</v>
      </c>
      <c r="O14" s="8">
        <v>0.8271334767341614</v>
      </c>
      <c r="P14" s="5"/>
      <c r="Q14" s="5" t="s">
        <v>19</v>
      </c>
      <c r="R14" s="12">
        <f t="shared" ref="R14:Y14" si="23">AVERAGE(D68:D73)</f>
        <v>0.06979368848</v>
      </c>
      <c r="S14" s="12">
        <f t="shared" si="23"/>
        <v>0.7434763511</v>
      </c>
      <c r="T14" s="12">
        <f t="shared" si="23"/>
        <v>0.7342878779</v>
      </c>
      <c r="U14" s="12">
        <f t="shared" si="23"/>
        <v>0.7388412456</v>
      </c>
      <c r="V14" s="12">
        <f t="shared" si="23"/>
        <v>0.4787606041</v>
      </c>
      <c r="W14" s="12">
        <f t="shared" si="23"/>
        <v>0.1485767593</v>
      </c>
      <c r="X14" s="12">
        <f t="shared" si="23"/>
        <v>0.1843925971</v>
      </c>
      <c r="Y14" s="12">
        <f t="shared" si="23"/>
        <v>0.2690844083</v>
      </c>
      <c r="Z14" s="12">
        <f t="shared" ref="Z14:AA14" si="24">AVERAGE(N68:N73)</f>
        <v>0.9999999404</v>
      </c>
      <c r="AA14" s="12">
        <f t="shared" si="24"/>
        <v>0.8969452182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>
      <c r="A15" s="10" t="s">
        <v>56</v>
      </c>
      <c r="B15" s="10" t="s">
        <v>16</v>
      </c>
      <c r="C15" s="10" t="s">
        <v>22</v>
      </c>
      <c r="D15" s="11">
        <v>0.04462786051827514</v>
      </c>
      <c r="E15" s="11">
        <v>0.7275570631027222</v>
      </c>
      <c r="F15" s="11">
        <v>0.7079843878746033</v>
      </c>
      <c r="G15" s="11">
        <v>0.7176373600959778</v>
      </c>
      <c r="H15" s="11">
        <v>0.46191346739792816</v>
      </c>
      <c r="I15" s="11">
        <v>0.10250152532031727</v>
      </c>
      <c r="J15" s="11">
        <v>0.18037781840341255</v>
      </c>
      <c r="K15" s="11">
        <v>0.26447288238878736</v>
      </c>
      <c r="L15" s="11">
        <v>0.0</v>
      </c>
      <c r="M15" s="11">
        <v>0.0</v>
      </c>
      <c r="N15" s="11">
        <v>0.9999999403953552</v>
      </c>
      <c r="O15" s="11">
        <v>0.5545380711555481</v>
      </c>
      <c r="P15" s="5"/>
      <c r="Q15" s="5" t="s">
        <v>29</v>
      </c>
      <c r="R15" s="12">
        <f t="shared" ref="R15:Y15" si="25">AVERAGE(D74:D79)</f>
        <v>0.06604505325</v>
      </c>
      <c r="S15" s="12">
        <f t="shared" si="25"/>
        <v>0.7428976695</v>
      </c>
      <c r="T15" s="12">
        <f t="shared" si="25"/>
        <v>0.7265886565</v>
      </c>
      <c r="U15" s="12">
        <f t="shared" si="25"/>
        <v>0.7346408069</v>
      </c>
      <c r="V15" s="12">
        <f t="shared" si="25"/>
        <v>0.4758705702</v>
      </c>
      <c r="W15" s="12">
        <f t="shared" si="25"/>
        <v>0.1338342391</v>
      </c>
      <c r="X15" s="12">
        <f t="shared" si="25"/>
        <v>0.1962077156</v>
      </c>
      <c r="Y15" s="12">
        <f t="shared" si="25"/>
        <v>0.2722424198</v>
      </c>
      <c r="Z15" s="12">
        <f t="shared" ref="Z15:AA15" si="26">AVERAGE(N74:N79)</f>
        <v>0.9999999404</v>
      </c>
      <c r="AA15" s="12">
        <f t="shared" si="26"/>
        <v>0.8969452182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>
      <c r="A16" s="7" t="s">
        <v>57</v>
      </c>
      <c r="B16" s="7" t="s">
        <v>16</v>
      </c>
      <c r="C16" s="7" t="s">
        <v>22</v>
      </c>
      <c r="D16" s="8">
        <v>0.06527791998982002</v>
      </c>
      <c r="E16" s="8">
        <v>0.751964807510376</v>
      </c>
      <c r="F16" s="8">
        <v>0.7400058507919312</v>
      </c>
      <c r="G16" s="8">
        <v>0.7459374070167542</v>
      </c>
      <c r="H16" s="8">
        <v>0.4965343415248897</v>
      </c>
      <c r="I16" s="8">
        <v>0.1249211356466877</v>
      </c>
      <c r="J16" s="8">
        <v>0.1953371140516698</v>
      </c>
      <c r="K16" s="8">
        <v>0.27851291745431633</v>
      </c>
      <c r="L16" s="8">
        <v>0.0</v>
      </c>
      <c r="M16" s="8">
        <v>0.0</v>
      </c>
      <c r="N16" s="8">
        <v>0.9999999403953552</v>
      </c>
      <c r="O16" s="8">
        <v>0.9999999403953552</v>
      </c>
      <c r="P16" s="5"/>
      <c r="Q16" s="5" t="s">
        <v>30</v>
      </c>
      <c r="R16" s="12">
        <f t="shared" ref="R16:Y16" si="27">AVERAGE(D80:D85)</f>
        <v>0.05316872793</v>
      </c>
      <c r="S16" s="12">
        <f t="shared" si="27"/>
        <v>0.7418616315</v>
      </c>
      <c r="T16" s="12">
        <f t="shared" si="27"/>
        <v>0.7250686487</v>
      </c>
      <c r="U16" s="12">
        <f t="shared" si="27"/>
        <v>0.7333513598</v>
      </c>
      <c r="V16" s="12">
        <f t="shared" si="27"/>
        <v>0.4556763937</v>
      </c>
      <c r="W16" s="12">
        <f t="shared" si="27"/>
        <v>0.1308157295</v>
      </c>
      <c r="X16" s="12">
        <f t="shared" si="27"/>
        <v>0.1883357534</v>
      </c>
      <c r="Y16" s="12">
        <f t="shared" si="27"/>
        <v>0.2576814014</v>
      </c>
      <c r="Z16" s="12">
        <f t="shared" ref="Z16:AA16" si="28">AVERAGE(N80:N85)</f>
        <v>0.7693519592</v>
      </c>
      <c r="AA16" s="12">
        <f t="shared" si="28"/>
        <v>0.7300382157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>
      <c r="A17" s="10" t="s">
        <v>58</v>
      </c>
      <c r="B17" s="10" t="s">
        <v>16</v>
      </c>
      <c r="C17" s="10" t="s">
        <v>22</v>
      </c>
      <c r="D17" s="11">
        <v>0.05323714316420221</v>
      </c>
      <c r="E17" s="11">
        <v>0.7305090427398682</v>
      </c>
      <c r="F17" s="11">
        <v>0.7273263931274414</v>
      </c>
      <c r="G17" s="11">
        <v>0.728914201259613</v>
      </c>
      <c r="H17" s="11">
        <v>0.4569083447332422</v>
      </c>
      <c r="I17" s="11">
        <v>0.11232876712328768</v>
      </c>
      <c r="J17" s="11">
        <v>0.18331053351573187</v>
      </c>
      <c r="K17" s="11">
        <v>0.2722298221614227</v>
      </c>
      <c r="L17" s="11">
        <v>0.0</v>
      </c>
      <c r="M17" s="11">
        <v>0.0</v>
      </c>
      <c r="N17" s="11">
        <v>0.9999999403953552</v>
      </c>
      <c r="O17" s="11">
        <v>0.9999999403953552</v>
      </c>
      <c r="P17" s="5"/>
      <c r="Q17" s="5" t="s">
        <v>31</v>
      </c>
      <c r="R17" s="12">
        <f t="shared" ref="R17:Y17" si="29">AVERAGE(D86:D91)</f>
        <v>0.06104915729</v>
      </c>
      <c r="S17" s="12">
        <f t="shared" si="29"/>
        <v>0.7487479846</v>
      </c>
      <c r="T17" s="12">
        <f t="shared" si="29"/>
        <v>0.7155837516</v>
      </c>
      <c r="U17" s="12">
        <f t="shared" si="29"/>
        <v>0.7317706048</v>
      </c>
      <c r="V17" s="12">
        <f t="shared" si="29"/>
        <v>0.4377788911</v>
      </c>
      <c r="W17" s="12">
        <f t="shared" si="29"/>
        <v>0.1292604978</v>
      </c>
      <c r="X17" s="12">
        <f t="shared" si="29"/>
        <v>0.1968307144</v>
      </c>
      <c r="Y17" s="12">
        <f t="shared" si="29"/>
        <v>0.2446320873</v>
      </c>
      <c r="Z17" s="12">
        <f t="shared" ref="Z17:AA17" si="30">AVERAGE(N86:N91)</f>
        <v>0.9999999404</v>
      </c>
      <c r="AA17" s="12">
        <f t="shared" si="30"/>
        <v>0.8969452182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>
      <c r="A18" s="7" t="s">
        <v>59</v>
      </c>
      <c r="B18" s="7" t="s">
        <v>16</v>
      </c>
      <c r="C18" s="7" t="s">
        <v>22</v>
      </c>
      <c r="D18" s="8">
        <v>0.056876113909183505</v>
      </c>
      <c r="E18" s="8">
        <v>0.7276657223701477</v>
      </c>
      <c r="F18" s="8">
        <v>0.7177121043205261</v>
      </c>
      <c r="G18" s="8">
        <v>0.7226547002792358</v>
      </c>
      <c r="H18" s="8">
        <v>0.4681753889674682</v>
      </c>
      <c r="I18" s="8">
        <v>0.12322946175637395</v>
      </c>
      <c r="J18" s="8">
        <v>0.18811881188118812</v>
      </c>
      <c r="K18" s="8">
        <v>0.2814710042432815</v>
      </c>
      <c r="L18" s="8">
        <v>0.0</v>
      </c>
      <c r="M18" s="8">
        <v>0.0</v>
      </c>
      <c r="N18" s="8">
        <v>0.9999999403953552</v>
      </c>
      <c r="O18" s="8">
        <v>0.9999999403953552</v>
      </c>
      <c r="P18" s="5"/>
      <c r="Q18" s="5" t="s">
        <v>32</v>
      </c>
      <c r="R18" s="12">
        <f t="shared" ref="R18:Y18" si="31">AVERAGE(D92:D97)</f>
        <v>0.05476973579</v>
      </c>
      <c r="S18" s="12">
        <f t="shared" si="31"/>
        <v>0.7301872174</v>
      </c>
      <c r="T18" s="12">
        <f t="shared" si="31"/>
        <v>0.7163167198</v>
      </c>
      <c r="U18" s="12">
        <f t="shared" si="31"/>
        <v>0.7231766383</v>
      </c>
      <c r="V18" s="12">
        <f t="shared" si="31"/>
        <v>0.4821545846</v>
      </c>
      <c r="W18" s="12">
        <f t="shared" si="31"/>
        <v>0.126589755</v>
      </c>
      <c r="X18" s="12">
        <f t="shared" si="31"/>
        <v>0.1986381389</v>
      </c>
      <c r="Y18" s="12">
        <f t="shared" si="31"/>
        <v>0.2524591086</v>
      </c>
      <c r="Z18" s="12">
        <f t="shared" ref="Z18:AA18" si="32">AVERAGE(N92:N97)</f>
        <v>0.9999999404</v>
      </c>
      <c r="AA18" s="12">
        <f t="shared" si="32"/>
        <v>0.8969452182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>
      <c r="A19" s="10" t="s">
        <v>60</v>
      </c>
      <c r="B19" s="10" t="s">
        <v>16</v>
      </c>
      <c r="C19" s="10" t="s">
        <v>22</v>
      </c>
      <c r="D19" s="11">
        <v>0.08251863039032595</v>
      </c>
      <c r="E19" s="11">
        <v>0.7460528612136841</v>
      </c>
      <c r="F19" s="11">
        <v>0.7287774085998535</v>
      </c>
      <c r="G19" s="11">
        <v>0.737313985824585</v>
      </c>
      <c r="H19" s="11">
        <v>0.5109780439121756</v>
      </c>
      <c r="I19" s="11">
        <v>0.15722851432378412</v>
      </c>
      <c r="J19" s="11">
        <v>0.20093147039254824</v>
      </c>
      <c r="K19" s="11">
        <v>0.29008649367930806</v>
      </c>
      <c r="L19" s="11">
        <v>0.0</v>
      </c>
      <c r="M19" s="11">
        <v>0.0</v>
      </c>
      <c r="N19" s="11">
        <v>0.9999999403953552</v>
      </c>
      <c r="O19" s="11">
        <v>0.9999999403953552</v>
      </c>
      <c r="P19" s="5"/>
      <c r="Q19" s="5" t="s">
        <v>33</v>
      </c>
      <c r="R19" s="12">
        <f t="shared" ref="R19:Y19" si="33">AVERAGE(D98:D103)</f>
        <v>0.04772794174</v>
      </c>
      <c r="S19" s="12">
        <f t="shared" si="33"/>
        <v>0.7301872174</v>
      </c>
      <c r="T19" s="12">
        <f t="shared" si="33"/>
        <v>0.7163167198</v>
      </c>
      <c r="U19" s="12">
        <f t="shared" si="33"/>
        <v>0.7231766383</v>
      </c>
      <c r="V19" s="12">
        <f t="shared" si="33"/>
        <v>0.4764274402</v>
      </c>
      <c r="W19" s="12">
        <f t="shared" si="33"/>
        <v>0.1256967715</v>
      </c>
      <c r="X19" s="12">
        <f t="shared" si="33"/>
        <v>0.1932257397</v>
      </c>
      <c r="Y19" s="12">
        <f t="shared" si="33"/>
        <v>0.2431265019</v>
      </c>
      <c r="Z19" s="12">
        <f t="shared" ref="Z19:AA19" si="34">AVERAGE(N98:N103)</f>
        <v>0.9999999404</v>
      </c>
      <c r="AA19" s="12">
        <f t="shared" si="34"/>
        <v>0.8969452182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</row>
    <row r="20">
      <c r="A20" s="7" t="s">
        <v>15</v>
      </c>
      <c r="B20" s="7" t="s">
        <v>16</v>
      </c>
      <c r="C20" s="7" t="s">
        <v>23</v>
      </c>
      <c r="D20" s="8">
        <v>0.05642314487733754</v>
      </c>
      <c r="E20" s="8">
        <v>0.7438938021659851</v>
      </c>
      <c r="F20" s="8">
        <v>0.736708402633667</v>
      </c>
      <c r="G20" s="8">
        <v>0.7402836680412292</v>
      </c>
      <c r="H20" s="8">
        <v>0.4760705289672544</v>
      </c>
      <c r="I20" s="8">
        <v>0.15762925598991173</v>
      </c>
      <c r="J20" s="8">
        <v>0.1788413098236776</v>
      </c>
      <c r="K20" s="8">
        <v>0.26952141057934503</v>
      </c>
      <c r="L20" s="8">
        <v>0.0</v>
      </c>
      <c r="M20" s="8">
        <v>0.0</v>
      </c>
      <c r="N20" s="8">
        <v>0.9999999403953552</v>
      </c>
      <c r="O20" s="8">
        <v>0.8271334767341614</v>
      </c>
      <c r="P20" s="5"/>
      <c r="Q20" s="5" t="s">
        <v>34</v>
      </c>
      <c r="R20" s="12">
        <f t="shared" ref="R20:Y20" si="35">AVERAGE(D104:D109)</f>
        <v>0.04061495176</v>
      </c>
      <c r="S20" s="12">
        <f t="shared" si="35"/>
        <v>0.7329400976</v>
      </c>
      <c r="T20" s="12">
        <f t="shared" si="35"/>
        <v>0.7195557952</v>
      </c>
      <c r="U20" s="12">
        <f t="shared" si="35"/>
        <v>0.7261785567</v>
      </c>
      <c r="V20" s="12">
        <f t="shared" si="35"/>
        <v>0.4674303478</v>
      </c>
      <c r="W20" s="12">
        <f t="shared" si="35"/>
        <v>0.1244001611</v>
      </c>
      <c r="X20" s="12">
        <f t="shared" si="35"/>
        <v>0.1890130477</v>
      </c>
      <c r="Y20" s="12">
        <f t="shared" si="35"/>
        <v>0.249194946</v>
      </c>
      <c r="Z20" s="12">
        <f t="shared" ref="Z20:AA20" si="36">AVERAGE(N104:N109)</f>
        <v>0.9999999404</v>
      </c>
      <c r="AA20" s="12">
        <f t="shared" si="36"/>
        <v>0.8969452182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</row>
    <row r="21" ht="15.75" customHeight="1">
      <c r="A21" s="10" t="s">
        <v>56</v>
      </c>
      <c r="B21" s="10" t="s">
        <v>16</v>
      </c>
      <c r="C21" s="10" t="s">
        <v>23</v>
      </c>
      <c r="D21" s="11">
        <v>0.034471011491698775</v>
      </c>
      <c r="E21" s="11">
        <v>0.7212876677513123</v>
      </c>
      <c r="F21" s="11">
        <v>0.7010066509246826</v>
      </c>
      <c r="G21" s="11">
        <v>0.71100252866745</v>
      </c>
      <c r="H21" s="11">
        <v>0.4301494476933073</v>
      </c>
      <c r="I21" s="11">
        <v>0.09759271307742355</v>
      </c>
      <c r="J21" s="11">
        <v>0.1728395061728395</v>
      </c>
      <c r="K21" s="11">
        <v>0.26120857699805067</v>
      </c>
      <c r="L21" s="11">
        <v>0.0</v>
      </c>
      <c r="M21" s="11">
        <v>0.0</v>
      </c>
      <c r="N21" s="11">
        <v>0.9999999403953552</v>
      </c>
      <c r="O21" s="11">
        <v>0.5545380711555481</v>
      </c>
      <c r="P21" s="5"/>
      <c r="Q21" s="5" t="s">
        <v>76</v>
      </c>
      <c r="R21" s="12">
        <f t="shared" ref="R21:Y21" si="37">AVERAGE(D110:D115)</f>
        <v>0.03672201935</v>
      </c>
      <c r="S21" s="12">
        <f t="shared" si="37"/>
        <v>0.7441247801</v>
      </c>
      <c r="T21" s="12">
        <f t="shared" si="37"/>
        <v>0.7242819568</v>
      </c>
      <c r="U21" s="12">
        <f t="shared" si="37"/>
        <v>0.7340533833</v>
      </c>
      <c r="V21" s="12">
        <f t="shared" si="37"/>
        <v>0.4246945987</v>
      </c>
      <c r="W21" s="12">
        <f t="shared" si="37"/>
        <v>0.1241249432</v>
      </c>
      <c r="X21" s="12">
        <f t="shared" si="37"/>
        <v>0.1759705008</v>
      </c>
      <c r="Y21" s="12">
        <f t="shared" si="37"/>
        <v>0.2454047759</v>
      </c>
      <c r="Z21" s="12">
        <f t="shared" ref="Z21:AA21" si="38">AVERAGE(N110:N115)</f>
        <v>0.9999999404</v>
      </c>
      <c r="AA21" s="12">
        <f t="shared" si="38"/>
        <v>0.8969452182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</row>
    <row r="22" ht="15.75" customHeight="1">
      <c r="A22" s="7" t="s">
        <v>57</v>
      </c>
      <c r="B22" s="7" t="s">
        <v>16</v>
      </c>
      <c r="C22" s="7" t="s">
        <v>23</v>
      </c>
      <c r="D22" s="8">
        <v>0.04794497047126003</v>
      </c>
      <c r="E22" s="8">
        <v>0.7493394613265991</v>
      </c>
      <c r="F22" s="8">
        <v>0.7387650012969971</v>
      </c>
      <c r="G22" s="8">
        <v>0.7440146803855896</v>
      </c>
      <c r="H22" s="8">
        <v>0.4444444444444445</v>
      </c>
      <c r="I22" s="8">
        <v>0.11598111935266353</v>
      </c>
      <c r="J22" s="8">
        <v>0.19124579124579125</v>
      </c>
      <c r="K22" s="8">
        <v>0.26262626262626265</v>
      </c>
      <c r="L22" s="8">
        <v>0.0</v>
      </c>
      <c r="M22" s="8">
        <v>0.0</v>
      </c>
      <c r="N22" s="8">
        <v>0.9999999403953552</v>
      </c>
      <c r="O22" s="8">
        <v>0.9999999403953552</v>
      </c>
      <c r="P22" s="5"/>
      <c r="Q22" s="5" t="s">
        <v>77</v>
      </c>
      <c r="R22" s="12">
        <f t="shared" ref="R22:Y22" si="39">AVERAGE(D116:D121)</f>
        <v>0.04781877985</v>
      </c>
      <c r="S22" s="12">
        <f t="shared" si="39"/>
        <v>0.7443707387</v>
      </c>
      <c r="T22" s="12">
        <f t="shared" si="39"/>
        <v>0.7274562617</v>
      </c>
      <c r="U22" s="12">
        <f t="shared" si="39"/>
        <v>0.7358038922</v>
      </c>
      <c r="V22" s="12">
        <f t="shared" si="39"/>
        <v>0.4402299743</v>
      </c>
      <c r="W22" s="12">
        <f t="shared" si="39"/>
        <v>0.1277984379</v>
      </c>
      <c r="X22" s="12">
        <f t="shared" si="39"/>
        <v>0.1827103447</v>
      </c>
      <c r="Y22" s="12">
        <f t="shared" si="39"/>
        <v>0.2535850703</v>
      </c>
      <c r="Z22" s="12">
        <f t="shared" ref="Z22:AA22" si="40">AVERAGE(N116:N121)</f>
        <v>0.9999999404</v>
      </c>
      <c r="AA22" s="12">
        <f t="shared" si="40"/>
        <v>0.8969452182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</row>
    <row r="23" ht="15.75" customHeight="1">
      <c r="A23" s="10" t="s">
        <v>58</v>
      </c>
      <c r="B23" s="10" t="s">
        <v>16</v>
      </c>
      <c r="C23" s="10" t="s">
        <v>23</v>
      </c>
      <c r="D23" s="11">
        <v>0.05048029758454118</v>
      </c>
      <c r="E23" s="11">
        <v>0.7354031205177307</v>
      </c>
      <c r="F23" s="11">
        <v>0.7286776304244995</v>
      </c>
      <c r="G23" s="11">
        <v>0.7320249080657959</v>
      </c>
      <c r="H23" s="11">
        <v>0.4647058823529412</v>
      </c>
      <c r="I23" s="11">
        <v>0.11340206185567012</v>
      </c>
      <c r="J23" s="11">
        <v>0.19117647058823528</v>
      </c>
      <c r="K23" s="11">
        <v>0.2691176470588235</v>
      </c>
      <c r="L23" s="11">
        <v>0.0</v>
      </c>
      <c r="M23" s="11">
        <v>0.0</v>
      </c>
      <c r="N23" s="11">
        <v>0.9999999403953552</v>
      </c>
      <c r="O23" s="11">
        <v>0.9999999403953552</v>
      </c>
      <c r="P23" s="5"/>
      <c r="Q23" s="5" t="s">
        <v>78</v>
      </c>
      <c r="R23" s="12">
        <f t="shared" ref="R23:Y23" si="41">AVERAGE(D122:D127)</f>
        <v>0.05804502865</v>
      </c>
      <c r="S23" s="12">
        <f t="shared" si="41"/>
        <v>0.7493858635</v>
      </c>
      <c r="T23" s="12">
        <f t="shared" si="41"/>
        <v>0.7233613431</v>
      </c>
      <c r="U23" s="12">
        <f t="shared" si="41"/>
        <v>0.7361218532</v>
      </c>
      <c r="V23" s="12">
        <f t="shared" si="41"/>
        <v>0.4450922091</v>
      </c>
      <c r="W23" s="12">
        <f t="shared" si="41"/>
        <v>0.1241155478</v>
      </c>
      <c r="X23" s="12">
        <f t="shared" si="41"/>
        <v>0.1855074662</v>
      </c>
      <c r="Y23" s="12">
        <f t="shared" si="41"/>
        <v>0.2589111473</v>
      </c>
      <c r="Z23" s="12">
        <f t="shared" ref="Z23:AA23" si="42">AVERAGE(N122:N127)</f>
        <v>0.7693519592</v>
      </c>
      <c r="AA23" s="12">
        <f t="shared" si="42"/>
        <v>0.7300382157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</row>
    <row r="24" ht="15.75" customHeight="1">
      <c r="A24" s="7" t="s">
        <v>59</v>
      </c>
      <c r="B24" s="7" t="s">
        <v>16</v>
      </c>
      <c r="C24" s="7" t="s">
        <v>23</v>
      </c>
      <c r="D24" s="8">
        <v>0.037884231903133184</v>
      </c>
      <c r="E24" s="8">
        <v>0.723712682723999</v>
      </c>
      <c r="F24" s="8">
        <v>0.7130594253540039</v>
      </c>
      <c r="G24" s="8">
        <v>0.7183465957641602</v>
      </c>
      <c r="H24" s="8">
        <v>0.4435975609756098</v>
      </c>
      <c r="I24" s="8">
        <v>0.10839694656488551</v>
      </c>
      <c r="J24" s="8">
        <v>0.17530487804878048</v>
      </c>
      <c r="K24" s="8">
        <v>0.2667682926829268</v>
      </c>
      <c r="L24" s="8">
        <v>0.0</v>
      </c>
      <c r="M24" s="8">
        <v>0.0</v>
      </c>
      <c r="N24" s="8">
        <v>0.9999999403953552</v>
      </c>
      <c r="O24" s="8">
        <v>0.9999999403953552</v>
      </c>
      <c r="P24" s="5"/>
      <c r="Q24" s="5" t="s">
        <v>79</v>
      </c>
      <c r="R24" s="12">
        <f t="shared" ref="R24:Y24" si="43">AVERAGE(D128:D133)</f>
        <v>0.05407672987</v>
      </c>
      <c r="S24" s="12">
        <f t="shared" si="43"/>
        <v>0.7378349404</v>
      </c>
      <c r="T24" s="12">
        <f t="shared" si="43"/>
        <v>0.7183848917</v>
      </c>
      <c r="U24" s="12">
        <f t="shared" si="43"/>
        <v>0.7279677391</v>
      </c>
      <c r="V24" s="12">
        <f t="shared" si="43"/>
        <v>0.4750123429</v>
      </c>
      <c r="W24" s="12">
        <f t="shared" si="43"/>
        <v>0.1319433928</v>
      </c>
      <c r="X24" s="12">
        <f t="shared" si="43"/>
        <v>0.1925322471</v>
      </c>
      <c r="Y24" s="12">
        <f t="shared" si="43"/>
        <v>0.2688873812</v>
      </c>
      <c r="Z24" s="12">
        <f t="shared" ref="Z24:AA24" si="44">AVERAGE(N128:N133)</f>
        <v>0.9999999404</v>
      </c>
      <c r="AA24" s="12">
        <f t="shared" si="44"/>
        <v>0.8969452182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</row>
    <row r="25" ht="15.75" customHeight="1">
      <c r="A25" s="10" t="s">
        <v>60</v>
      </c>
      <c r="B25" s="10" t="s">
        <v>16</v>
      </c>
      <c r="C25" s="10" t="s">
        <v>23</v>
      </c>
      <c r="D25" s="11">
        <v>0.07699390511304764</v>
      </c>
      <c r="E25" s="11">
        <v>0.743644118309021</v>
      </c>
      <c r="F25" s="11">
        <v>0.7184867858886719</v>
      </c>
      <c r="G25" s="11">
        <v>0.730849027633667</v>
      </c>
      <c r="H25" s="11">
        <v>0.4925053533190578</v>
      </c>
      <c r="I25" s="11">
        <v>0.14867762687634026</v>
      </c>
      <c r="J25" s="11">
        <v>0.19985724482512487</v>
      </c>
      <c r="K25" s="11">
        <v>0.2940756602426838</v>
      </c>
      <c r="L25" s="11">
        <v>0.0</v>
      </c>
      <c r="M25" s="11">
        <v>0.0</v>
      </c>
      <c r="N25" s="11">
        <v>0.9999999403953552</v>
      </c>
      <c r="O25" s="11">
        <v>0.9999999403953552</v>
      </c>
      <c r="P25" s="5"/>
      <c r="Q25" s="5" t="s">
        <v>80</v>
      </c>
      <c r="R25" s="12">
        <f t="shared" ref="R25:Y25" si="45">AVERAGE(D134:D139)</f>
        <v>0.0325058679</v>
      </c>
      <c r="S25" s="12">
        <f t="shared" si="45"/>
        <v>0.7376532157</v>
      </c>
      <c r="T25" s="12">
        <f t="shared" si="45"/>
        <v>0.7183286448</v>
      </c>
      <c r="U25" s="12">
        <f t="shared" si="45"/>
        <v>0.7278497616</v>
      </c>
      <c r="V25" s="12">
        <f t="shared" si="45"/>
        <v>0.4140547821</v>
      </c>
      <c r="W25" s="12">
        <f t="shared" si="45"/>
        <v>0.1202132064</v>
      </c>
      <c r="X25" s="12">
        <f t="shared" si="45"/>
        <v>0.1765201274</v>
      </c>
      <c r="Y25" s="12">
        <f t="shared" si="45"/>
        <v>0.2384351232</v>
      </c>
      <c r="Z25" s="12">
        <f t="shared" ref="Z25:AA25" si="46">AVERAGE(N134:N139)</f>
        <v>0.9999999404</v>
      </c>
      <c r="AA25" s="12">
        <f t="shared" si="46"/>
        <v>0.8969452182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</row>
    <row r="26" ht="15.75" customHeight="1">
      <c r="A26" s="7" t="s">
        <v>15</v>
      </c>
      <c r="B26" s="7" t="s">
        <v>16</v>
      </c>
      <c r="C26" s="7" t="s">
        <v>24</v>
      </c>
      <c r="D26" s="8">
        <v>0.055889325576859036</v>
      </c>
      <c r="E26" s="8">
        <v>0.7473039031028748</v>
      </c>
      <c r="F26" s="8">
        <v>0.7374606132507324</v>
      </c>
      <c r="G26" s="8">
        <v>0.7423495650291443</v>
      </c>
      <c r="H26" s="8">
        <v>0.4685714285714286</v>
      </c>
      <c r="I26" s="8">
        <v>0.1551176096630642</v>
      </c>
      <c r="J26" s="8">
        <v>0.17523809523809522</v>
      </c>
      <c r="K26" s="8">
        <v>0.2679365079365079</v>
      </c>
      <c r="L26" s="8">
        <v>0.0</v>
      </c>
      <c r="M26" s="8">
        <v>0.0</v>
      </c>
      <c r="N26" s="8">
        <v>0.9999999403953552</v>
      </c>
      <c r="O26" s="8">
        <v>0.8271334767341614</v>
      </c>
      <c r="P26" s="5"/>
      <c r="Q26" s="5" t="s">
        <v>81</v>
      </c>
      <c r="R26" s="12">
        <f t="shared" ref="R26:Y26" si="47">AVERAGE(D140:D145)</f>
        <v>0.04055279432</v>
      </c>
      <c r="S26" s="12">
        <f t="shared" si="47"/>
        <v>0.7282006542</v>
      </c>
      <c r="T26" s="12">
        <f t="shared" si="47"/>
        <v>0.7268404762</v>
      </c>
      <c r="U26" s="12">
        <f t="shared" si="47"/>
        <v>0.7274872661</v>
      </c>
      <c r="V26" s="12">
        <f t="shared" si="47"/>
        <v>0.4265002877</v>
      </c>
      <c r="W26" s="12">
        <f t="shared" si="47"/>
        <v>0.1146131017</v>
      </c>
      <c r="X26" s="12">
        <f t="shared" si="47"/>
        <v>0.1749713317</v>
      </c>
      <c r="Y26" s="12">
        <f t="shared" si="47"/>
        <v>0.2438715532</v>
      </c>
      <c r="Z26" s="12">
        <f t="shared" ref="Z26:AA26" si="48">AVERAGE(N140:N145)</f>
        <v>0.9999999404</v>
      </c>
      <c r="AA26" s="12">
        <f t="shared" si="48"/>
        <v>0.8969452182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</row>
    <row r="27" ht="15.75" customHeight="1">
      <c r="A27" s="10" t="s">
        <v>56</v>
      </c>
      <c r="B27" s="10" t="s">
        <v>16</v>
      </c>
      <c r="C27" s="10" t="s">
        <v>24</v>
      </c>
      <c r="D27" s="11">
        <v>0.03503918577558686</v>
      </c>
      <c r="E27" s="11">
        <v>0.7242181301116943</v>
      </c>
      <c r="F27" s="11">
        <v>0.7014703750610352</v>
      </c>
      <c r="G27" s="11">
        <v>0.7126627564430237</v>
      </c>
      <c r="H27" s="11">
        <v>0.4246395806028834</v>
      </c>
      <c r="I27" s="11">
        <v>0.09973753280839895</v>
      </c>
      <c r="J27" s="11">
        <v>0.1730013106159895</v>
      </c>
      <c r="K27" s="11">
        <v>0.254259501965924</v>
      </c>
      <c r="L27" s="11">
        <v>0.0</v>
      </c>
      <c r="M27" s="11">
        <v>0.0</v>
      </c>
      <c r="N27" s="11">
        <v>0.9999999403953552</v>
      </c>
      <c r="O27" s="11">
        <v>0.5545380711555481</v>
      </c>
      <c r="P27" s="5"/>
      <c r="Q27" s="5" t="s">
        <v>44</v>
      </c>
      <c r="R27" s="12">
        <f t="shared" ref="R27:Y27" si="49">AVERAGE(D146:D151)</f>
        <v>0.01823804376</v>
      </c>
      <c r="S27" s="12">
        <f t="shared" si="49"/>
        <v>0.7472675741</v>
      </c>
      <c r="T27" s="12">
        <f t="shared" si="49"/>
        <v>0.7180993954</v>
      </c>
      <c r="U27" s="12">
        <f t="shared" si="49"/>
        <v>0.7323814631</v>
      </c>
      <c r="V27" s="12">
        <f t="shared" si="49"/>
        <v>0.3400805542</v>
      </c>
      <c r="W27" s="12">
        <f t="shared" si="49"/>
        <v>0.100458503</v>
      </c>
      <c r="X27" s="12">
        <f t="shared" si="49"/>
        <v>0.155202052</v>
      </c>
      <c r="Y27" s="12">
        <f t="shared" si="49"/>
        <v>0.2026599804</v>
      </c>
      <c r="Z27" s="12">
        <f t="shared" ref="Z27:AA27" si="50">AVERAGE(N146:N151)</f>
        <v>0.7693519592</v>
      </c>
      <c r="AA27" s="12">
        <f t="shared" si="50"/>
        <v>0.7300382157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</row>
    <row r="28" ht="15.75" customHeight="1">
      <c r="A28" s="7" t="s">
        <v>57</v>
      </c>
      <c r="B28" s="7" t="s">
        <v>16</v>
      </c>
      <c r="C28" s="7" t="s">
        <v>24</v>
      </c>
      <c r="D28" s="8">
        <v>0.058063387936699865</v>
      </c>
      <c r="E28" s="8">
        <v>0.75547194480896</v>
      </c>
      <c r="F28" s="8">
        <v>0.7429813146591187</v>
      </c>
      <c r="G28" s="8">
        <v>0.7491745352745056</v>
      </c>
      <c r="H28" s="8">
        <v>0.4442934782608695</v>
      </c>
      <c r="I28" s="8">
        <v>0.12108843537414966</v>
      </c>
      <c r="J28" s="8">
        <v>0.19157608695652176</v>
      </c>
      <c r="K28" s="8">
        <v>0.264945652173913</v>
      </c>
      <c r="L28" s="8">
        <v>0.0</v>
      </c>
      <c r="M28" s="8">
        <v>0.0</v>
      </c>
      <c r="N28" s="8">
        <v>0.9999999403953552</v>
      </c>
      <c r="O28" s="8">
        <v>0.9999999403953552</v>
      </c>
      <c r="P28" s="5"/>
      <c r="Q28" s="5" t="s">
        <v>45</v>
      </c>
      <c r="R28" s="12">
        <f t="shared" ref="R28:Y28" si="51">AVERAGE(D152:D157)</f>
        <v>0.01823804376</v>
      </c>
      <c r="S28" s="12">
        <f t="shared" si="51"/>
        <v>0.7472675741</v>
      </c>
      <c r="T28" s="12">
        <f t="shared" si="51"/>
        <v>0.7180993954</v>
      </c>
      <c r="U28" s="12">
        <f t="shared" si="51"/>
        <v>0.7323814631</v>
      </c>
      <c r="V28" s="12">
        <f t="shared" si="51"/>
        <v>0.3400805542</v>
      </c>
      <c r="W28" s="12">
        <f t="shared" si="51"/>
        <v>0.100458503</v>
      </c>
      <c r="X28" s="12">
        <f t="shared" si="51"/>
        <v>0.155202052</v>
      </c>
      <c r="Y28" s="12">
        <f t="shared" si="51"/>
        <v>0.2026599804</v>
      </c>
      <c r="Z28" s="12">
        <f t="shared" ref="Z28:AA28" si="52">AVERAGE(N152:N157)</f>
        <v>0.7693519592</v>
      </c>
      <c r="AA28" s="12">
        <f t="shared" si="52"/>
        <v>0.7300382157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</row>
    <row r="29" ht="15.75" customHeight="1">
      <c r="A29" s="10" t="s">
        <v>58</v>
      </c>
      <c r="B29" s="10" t="s">
        <v>16</v>
      </c>
      <c r="C29" s="10" t="s">
        <v>24</v>
      </c>
      <c r="D29" s="11">
        <v>0.04645175456005988</v>
      </c>
      <c r="E29" s="11">
        <v>0.7384192943572998</v>
      </c>
      <c r="F29" s="11">
        <v>0.7295912504196167</v>
      </c>
      <c r="G29" s="11">
        <v>0.7339787483215332</v>
      </c>
      <c r="H29" s="11">
        <v>0.4573125463994061</v>
      </c>
      <c r="I29" s="11">
        <v>0.11152416356877323</v>
      </c>
      <c r="J29" s="11">
        <v>0.19005196733481813</v>
      </c>
      <c r="K29" s="11">
        <v>0.26726057906458794</v>
      </c>
      <c r="L29" s="11">
        <v>0.0</v>
      </c>
      <c r="M29" s="11">
        <v>0.0</v>
      </c>
      <c r="N29" s="11">
        <v>0.9999999403953552</v>
      </c>
      <c r="O29" s="11">
        <v>0.9999999403953552</v>
      </c>
      <c r="P29" s="5"/>
      <c r="Q29" s="5" t="s">
        <v>46</v>
      </c>
      <c r="R29" s="12">
        <f t="shared" ref="R29:Y29" si="53">AVERAGE(D158:D163)</f>
        <v>0.01756020871</v>
      </c>
      <c r="S29" s="12">
        <f t="shared" si="53"/>
        <v>0.7408128778</v>
      </c>
      <c r="T29" s="12">
        <f t="shared" si="53"/>
        <v>0.7146557868</v>
      </c>
      <c r="U29" s="12">
        <f t="shared" si="53"/>
        <v>0.7274835904</v>
      </c>
      <c r="V29" s="12">
        <f t="shared" si="53"/>
        <v>0.3548350691</v>
      </c>
      <c r="W29" s="12">
        <f t="shared" si="53"/>
        <v>0.1039994257</v>
      </c>
      <c r="X29" s="12">
        <f t="shared" si="53"/>
        <v>0.1683720694</v>
      </c>
      <c r="Y29" s="12">
        <f t="shared" si="53"/>
        <v>0.2108787649</v>
      </c>
      <c r="Z29" s="12">
        <f t="shared" ref="Z29:AA29" si="54">AVERAGE(N158:N163)</f>
        <v>0.7693519592</v>
      </c>
      <c r="AA29" s="12">
        <f t="shared" si="54"/>
        <v>0.7300382157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</row>
    <row r="30" ht="15.75" customHeight="1">
      <c r="A30" s="7" t="s">
        <v>59</v>
      </c>
      <c r="B30" s="7" t="s">
        <v>16</v>
      </c>
      <c r="C30" s="7" t="s">
        <v>24</v>
      </c>
      <c r="D30" s="8">
        <v>0.03152445844852444</v>
      </c>
      <c r="E30" s="8">
        <v>0.7248826026916504</v>
      </c>
      <c r="F30" s="8">
        <v>0.7145937085151672</v>
      </c>
      <c r="G30" s="8">
        <v>0.7197014093399048</v>
      </c>
      <c r="H30" s="8">
        <v>0.44341801385681295</v>
      </c>
      <c r="I30" s="8">
        <v>0.1094834232845027</v>
      </c>
      <c r="J30" s="8">
        <v>0.17859892224788299</v>
      </c>
      <c r="K30" s="8">
        <v>0.2802155504234026</v>
      </c>
      <c r="L30" s="8">
        <v>0.0</v>
      </c>
      <c r="M30" s="8">
        <v>0.0</v>
      </c>
      <c r="N30" s="8">
        <v>0.9999999403953552</v>
      </c>
      <c r="O30" s="8">
        <v>0.9999999403953552</v>
      </c>
      <c r="P30" s="5"/>
      <c r="Q30" s="5" t="s">
        <v>41</v>
      </c>
      <c r="R30" s="12">
        <f t="shared" ref="R30:Y30" si="55">AVERAGE(D164:D169)</f>
        <v>0.01883842546</v>
      </c>
      <c r="S30" s="12">
        <f t="shared" si="55"/>
        <v>0.7349908054</v>
      </c>
      <c r="T30" s="12">
        <f t="shared" si="55"/>
        <v>0.7241941988</v>
      </c>
      <c r="U30" s="12">
        <f t="shared" si="55"/>
        <v>0.7295508186</v>
      </c>
      <c r="V30" s="12">
        <f t="shared" si="55"/>
        <v>0.3740817592</v>
      </c>
      <c r="W30" s="12">
        <f t="shared" si="55"/>
        <v>0.08648673059</v>
      </c>
      <c r="X30" s="12">
        <f t="shared" si="55"/>
        <v>0.1718111364</v>
      </c>
      <c r="Y30" s="12">
        <f t="shared" si="55"/>
        <v>0.222090409</v>
      </c>
      <c r="Z30" s="12">
        <f t="shared" ref="Z30:AA30" si="56">AVERAGE(N164:N169)</f>
        <v>0.7023139</v>
      </c>
      <c r="AA30" s="12">
        <f t="shared" si="56"/>
        <v>0.6908719043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</row>
    <row r="31" ht="15.75" customHeight="1">
      <c r="A31" s="10" t="s">
        <v>60</v>
      </c>
      <c r="B31" s="10" t="s">
        <v>16</v>
      </c>
      <c r="C31" s="10" t="s">
        <v>24</v>
      </c>
      <c r="D31" s="11">
        <v>0.07228975439390173</v>
      </c>
      <c r="E31" s="11">
        <v>0.7447216510772705</v>
      </c>
      <c r="F31" s="11">
        <v>0.7182005643844604</v>
      </c>
      <c r="G31" s="11">
        <v>0.7312207221984863</v>
      </c>
      <c r="H31" s="11">
        <v>0.4884726224783862</v>
      </c>
      <c r="I31" s="11">
        <v>0.15151515151515152</v>
      </c>
      <c r="J31" s="11">
        <v>0.19596541786743515</v>
      </c>
      <c r="K31" s="11">
        <v>0.2953890489913545</v>
      </c>
      <c r="L31" s="11">
        <v>0.0</v>
      </c>
      <c r="M31" s="11">
        <v>0.0</v>
      </c>
      <c r="N31" s="11">
        <v>0.9999999403953552</v>
      </c>
      <c r="O31" s="11">
        <v>0.9999999403953552</v>
      </c>
      <c r="P31" s="5"/>
      <c r="Q31" s="5" t="s">
        <v>42</v>
      </c>
      <c r="R31" s="12">
        <f t="shared" ref="R31:Y31" si="57">AVERAGE(D170:D175)</f>
        <v>0.02959663918</v>
      </c>
      <c r="S31" s="12">
        <f t="shared" si="57"/>
        <v>0.7413688203</v>
      </c>
      <c r="T31" s="12">
        <f t="shared" si="57"/>
        <v>0.7186065217</v>
      </c>
      <c r="U31" s="12">
        <f t="shared" si="57"/>
        <v>0.7297867537</v>
      </c>
      <c r="V31" s="12">
        <f t="shared" si="57"/>
        <v>0.3785051629</v>
      </c>
      <c r="W31" s="12">
        <f t="shared" si="57"/>
        <v>0.1054320744</v>
      </c>
      <c r="X31" s="12">
        <f t="shared" si="57"/>
        <v>0.1717433465</v>
      </c>
      <c r="Y31" s="12">
        <f t="shared" si="57"/>
        <v>0.2245076578</v>
      </c>
      <c r="Z31" s="12">
        <f t="shared" ref="Z31:AA31" si="58">AVERAGE(N170:N175)</f>
        <v>0.7693519592</v>
      </c>
      <c r="AA31" s="12">
        <f t="shared" si="58"/>
        <v>0.7300382157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</row>
    <row r="32" ht="15.75" customHeight="1">
      <c r="A32" s="7" t="s">
        <v>15</v>
      </c>
      <c r="B32" s="7" t="s">
        <v>16</v>
      </c>
      <c r="C32" s="7" t="s">
        <v>25</v>
      </c>
      <c r="D32" s="8">
        <v>0.055889325576859036</v>
      </c>
      <c r="E32" s="8">
        <v>0.7473039031028748</v>
      </c>
      <c r="F32" s="8">
        <v>0.7374606132507324</v>
      </c>
      <c r="G32" s="8">
        <v>0.7423495650291443</v>
      </c>
      <c r="H32" s="8">
        <v>0.4685714285714286</v>
      </c>
      <c r="I32" s="8">
        <v>0.1551176096630642</v>
      </c>
      <c r="J32" s="8">
        <v>0.17523809523809522</v>
      </c>
      <c r="K32" s="8">
        <v>0.2679365079365079</v>
      </c>
      <c r="L32" s="8">
        <v>0.0</v>
      </c>
      <c r="M32" s="8">
        <v>0.0</v>
      </c>
      <c r="N32" s="8">
        <v>0.9999999403953552</v>
      </c>
      <c r="O32" s="8">
        <v>0.8271334767341614</v>
      </c>
      <c r="P32" s="5"/>
      <c r="Q32" s="5" t="s">
        <v>43</v>
      </c>
      <c r="R32" s="12">
        <f t="shared" ref="R32:Y32" si="59">AVERAGE(D176:D181)</f>
        <v>0.0250905937</v>
      </c>
      <c r="S32" s="12">
        <f t="shared" si="59"/>
        <v>0.7277145982</v>
      </c>
      <c r="T32" s="12">
        <f t="shared" si="59"/>
        <v>0.7221286595</v>
      </c>
      <c r="U32" s="12">
        <f t="shared" si="59"/>
        <v>0.7248983184</v>
      </c>
      <c r="V32" s="12">
        <f t="shared" si="59"/>
        <v>0.3806674562</v>
      </c>
      <c r="W32" s="12">
        <f t="shared" si="59"/>
        <v>0.09591100086</v>
      </c>
      <c r="X32" s="12">
        <f t="shared" si="59"/>
        <v>0.1626630939</v>
      </c>
      <c r="Y32" s="12">
        <f t="shared" si="59"/>
        <v>0.2276302807</v>
      </c>
      <c r="Z32" s="12">
        <f t="shared" ref="Z32:AA32" si="60">AVERAGE(N176:N181)</f>
        <v>0.8271334767</v>
      </c>
      <c r="AA32" s="12">
        <f t="shared" si="60"/>
        <v>0.804944247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</row>
    <row r="33" ht="15.75" customHeight="1">
      <c r="A33" s="10" t="s">
        <v>56</v>
      </c>
      <c r="B33" s="10" t="s">
        <v>16</v>
      </c>
      <c r="C33" s="10" t="s">
        <v>25</v>
      </c>
      <c r="D33" s="11">
        <v>0.03503918577558686</v>
      </c>
      <c r="E33" s="11">
        <v>0.7242181301116943</v>
      </c>
      <c r="F33" s="11">
        <v>0.7014703750610352</v>
      </c>
      <c r="G33" s="11">
        <v>0.7126627564430237</v>
      </c>
      <c r="H33" s="11">
        <v>0.4246395806028834</v>
      </c>
      <c r="I33" s="11">
        <v>0.09973753280839895</v>
      </c>
      <c r="J33" s="11">
        <v>0.1730013106159895</v>
      </c>
      <c r="K33" s="11">
        <v>0.254259501965924</v>
      </c>
      <c r="L33" s="11">
        <v>0.0</v>
      </c>
      <c r="M33" s="11">
        <v>0.0</v>
      </c>
      <c r="N33" s="11">
        <v>0.9999999403953552</v>
      </c>
      <c r="O33" s="11">
        <v>0.5545380711555481</v>
      </c>
      <c r="P33" s="5"/>
      <c r="Q33" s="5" t="s">
        <v>82</v>
      </c>
      <c r="R33" s="12">
        <f t="shared" ref="R33:Y33" si="61">AVERAGE(D182:D187)</f>
        <v>0.04703588064</v>
      </c>
      <c r="S33" s="12">
        <f t="shared" si="61"/>
        <v>0.7430559893</v>
      </c>
      <c r="T33" s="12">
        <f t="shared" si="61"/>
        <v>0.7277891437</v>
      </c>
      <c r="U33" s="12">
        <f t="shared" si="61"/>
        <v>0.7353335619</v>
      </c>
      <c r="V33" s="12">
        <f t="shared" si="61"/>
        <v>0.4212350381</v>
      </c>
      <c r="W33" s="12">
        <f t="shared" si="61"/>
        <v>0.1048497134</v>
      </c>
      <c r="X33" s="12">
        <f t="shared" si="61"/>
        <v>0.1795392199</v>
      </c>
      <c r="Y33" s="12">
        <f t="shared" si="61"/>
        <v>0.2536375733</v>
      </c>
      <c r="Z33" s="12">
        <f t="shared" ref="Z33:AA33" si="62">AVERAGE(N182:N187)</f>
        <v>0.9999999404</v>
      </c>
      <c r="AA33" s="12">
        <f t="shared" si="62"/>
        <v>0.8969452182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</row>
    <row r="34" ht="15.75" customHeight="1">
      <c r="A34" s="7" t="s">
        <v>57</v>
      </c>
      <c r="B34" s="7" t="s">
        <v>16</v>
      </c>
      <c r="C34" s="7" t="s">
        <v>25</v>
      </c>
      <c r="D34" s="8">
        <v>0.058063387936699865</v>
      </c>
      <c r="E34" s="8">
        <v>0.75547194480896</v>
      </c>
      <c r="F34" s="8">
        <v>0.7429813146591187</v>
      </c>
      <c r="G34" s="8">
        <v>0.7491745352745056</v>
      </c>
      <c r="H34" s="8">
        <v>0.4442934782608695</v>
      </c>
      <c r="I34" s="8">
        <v>0.12108843537414966</v>
      </c>
      <c r="J34" s="8">
        <v>0.19157608695652176</v>
      </c>
      <c r="K34" s="8">
        <v>0.264945652173913</v>
      </c>
      <c r="L34" s="8">
        <v>0.0</v>
      </c>
      <c r="M34" s="8">
        <v>0.0</v>
      </c>
      <c r="N34" s="8">
        <v>0.9999999403953552</v>
      </c>
      <c r="O34" s="8">
        <v>0.9999999403953552</v>
      </c>
      <c r="P34" s="5"/>
      <c r="Q34" s="5" t="s">
        <v>83</v>
      </c>
      <c r="R34" s="12">
        <f t="shared" ref="R34:Y34" si="63">AVERAGE(D188:D193)</f>
        <v>0.05072383012</v>
      </c>
      <c r="S34" s="12">
        <f t="shared" si="63"/>
        <v>0.7430140475</v>
      </c>
      <c r="T34" s="12">
        <f t="shared" si="63"/>
        <v>0.7314001222</v>
      </c>
      <c r="U34" s="12">
        <f t="shared" si="63"/>
        <v>0.7371380329</v>
      </c>
      <c r="V34" s="12">
        <f t="shared" si="63"/>
        <v>0.4002116705</v>
      </c>
      <c r="W34" s="12">
        <f t="shared" si="63"/>
        <v>0.1117454416</v>
      </c>
      <c r="X34" s="12">
        <f t="shared" si="63"/>
        <v>0.1723936459</v>
      </c>
      <c r="Y34" s="12">
        <f t="shared" si="63"/>
        <v>0.2481418029</v>
      </c>
      <c r="Z34" s="12">
        <f t="shared" ref="Z34:AA34" si="64">AVERAGE(N188:N193)</f>
        <v>0.7023139</v>
      </c>
      <c r="AA34" s="12">
        <f t="shared" si="64"/>
        <v>0.6908719043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</row>
    <row r="35" ht="15.75" customHeight="1">
      <c r="A35" s="10" t="s">
        <v>58</v>
      </c>
      <c r="B35" s="10" t="s">
        <v>16</v>
      </c>
      <c r="C35" s="10" t="s">
        <v>25</v>
      </c>
      <c r="D35" s="11">
        <v>0.04645175456005988</v>
      </c>
      <c r="E35" s="11">
        <v>0.7384192943572998</v>
      </c>
      <c r="F35" s="11">
        <v>0.7295912504196167</v>
      </c>
      <c r="G35" s="11">
        <v>0.7339787483215332</v>
      </c>
      <c r="H35" s="11">
        <v>0.4573125463994061</v>
      </c>
      <c r="I35" s="11">
        <v>0.11152416356877323</v>
      </c>
      <c r="J35" s="11">
        <v>0.19005196733481813</v>
      </c>
      <c r="K35" s="11">
        <v>0.26726057906458794</v>
      </c>
      <c r="L35" s="11">
        <v>0.0</v>
      </c>
      <c r="M35" s="11">
        <v>0.0</v>
      </c>
      <c r="N35" s="11">
        <v>0.9999999403953552</v>
      </c>
      <c r="O35" s="11">
        <v>0.9999999403953552</v>
      </c>
      <c r="P35" s="5"/>
      <c r="Q35" s="5" t="s">
        <v>84</v>
      </c>
      <c r="R35" s="12">
        <f t="shared" ref="R35:Y35" si="65">AVERAGE(D194:D199)</f>
        <v>0.03631423701</v>
      </c>
      <c r="S35" s="12">
        <f t="shared" si="65"/>
        <v>0.7439031899</v>
      </c>
      <c r="T35" s="12">
        <f t="shared" si="65"/>
        <v>0.7296819886</v>
      </c>
      <c r="U35" s="12">
        <f t="shared" si="65"/>
        <v>0.7366958161</v>
      </c>
      <c r="V35" s="12">
        <f t="shared" si="65"/>
        <v>0.3975072539</v>
      </c>
      <c r="W35" s="12">
        <f t="shared" si="65"/>
        <v>0.09853932444</v>
      </c>
      <c r="X35" s="12">
        <f t="shared" si="65"/>
        <v>0.1696510356</v>
      </c>
      <c r="Y35" s="12">
        <f t="shared" si="65"/>
        <v>0.2256047679</v>
      </c>
      <c r="Z35" s="12">
        <f t="shared" ref="Z35:AA35" si="66">AVERAGE(N194:N199)</f>
        <v>0.9999999404</v>
      </c>
      <c r="AA35" s="12">
        <f t="shared" si="66"/>
        <v>0.8969452182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</row>
    <row r="36" ht="15.75" customHeight="1">
      <c r="A36" s="7" t="s">
        <v>59</v>
      </c>
      <c r="B36" s="7" t="s">
        <v>16</v>
      </c>
      <c r="C36" s="7" t="s">
        <v>25</v>
      </c>
      <c r="D36" s="8">
        <v>0.03152445844852444</v>
      </c>
      <c r="E36" s="8">
        <v>0.7248826026916504</v>
      </c>
      <c r="F36" s="8">
        <v>0.7145937085151672</v>
      </c>
      <c r="G36" s="8">
        <v>0.7197014093399048</v>
      </c>
      <c r="H36" s="8">
        <v>0.44341801385681295</v>
      </c>
      <c r="I36" s="8">
        <v>0.1094834232845027</v>
      </c>
      <c r="J36" s="8">
        <v>0.17859892224788299</v>
      </c>
      <c r="K36" s="8">
        <v>0.2802155504234026</v>
      </c>
      <c r="L36" s="8">
        <v>0.0</v>
      </c>
      <c r="M36" s="8">
        <v>0.0</v>
      </c>
      <c r="N36" s="8">
        <v>0.9999999403953552</v>
      </c>
      <c r="O36" s="8">
        <v>0.9999999403953552</v>
      </c>
      <c r="P36" s="5"/>
      <c r="Q36" s="5" t="s">
        <v>85</v>
      </c>
      <c r="R36" s="12">
        <f t="shared" ref="R36:Y36" si="67">AVERAGE(D200:D205)</f>
        <v>0.01324393126</v>
      </c>
      <c r="S36" s="12">
        <f t="shared" si="67"/>
        <v>0.6604864001</v>
      </c>
      <c r="T36" s="12">
        <f t="shared" si="67"/>
        <v>0.6437774698</v>
      </c>
      <c r="U36" s="12">
        <f t="shared" si="67"/>
        <v>0.652017196</v>
      </c>
      <c r="V36" s="12">
        <f t="shared" si="67"/>
        <v>0.3384062953</v>
      </c>
      <c r="W36" s="12">
        <f t="shared" si="67"/>
        <v>0.09373550545</v>
      </c>
      <c r="X36" s="12">
        <f t="shared" si="67"/>
        <v>0.1685572998</v>
      </c>
      <c r="Y36" s="12">
        <f t="shared" si="67"/>
        <v>0.1890945263</v>
      </c>
      <c r="Z36" s="12">
        <f t="shared" ref="Z36:AA36" si="68">AVERAGE(N200:N205)</f>
        <v>0.8277580142</v>
      </c>
      <c r="AA36" s="12">
        <f t="shared" si="68"/>
        <v>0.787445724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</row>
    <row r="37" ht="15.75" customHeight="1">
      <c r="A37" s="10" t="s">
        <v>60</v>
      </c>
      <c r="B37" s="10" t="s">
        <v>16</v>
      </c>
      <c r="C37" s="10" t="s">
        <v>25</v>
      </c>
      <c r="D37" s="11">
        <v>0.07228975439390173</v>
      </c>
      <c r="E37" s="11">
        <v>0.7447216510772705</v>
      </c>
      <c r="F37" s="11">
        <v>0.7182005643844604</v>
      </c>
      <c r="G37" s="11">
        <v>0.7312207221984863</v>
      </c>
      <c r="H37" s="11">
        <v>0.4884726224783862</v>
      </c>
      <c r="I37" s="11">
        <v>0.15151515151515152</v>
      </c>
      <c r="J37" s="11">
        <v>0.19596541786743515</v>
      </c>
      <c r="K37" s="11">
        <v>0.2953890489913545</v>
      </c>
      <c r="L37" s="11">
        <v>0.0</v>
      </c>
      <c r="M37" s="11">
        <v>0.0</v>
      </c>
      <c r="N37" s="11">
        <v>0.9999999403953552</v>
      </c>
      <c r="O37" s="11">
        <v>0.9999999403953552</v>
      </c>
      <c r="P37" s="5"/>
      <c r="Q37" s="5" t="s">
        <v>86</v>
      </c>
      <c r="R37" s="12">
        <f t="shared" ref="R37:Y37" si="69">AVERAGE(D206:D211)</f>
        <v>0.01324393126</v>
      </c>
      <c r="S37" s="12">
        <f t="shared" si="69"/>
        <v>0.6604864001</v>
      </c>
      <c r="T37" s="12">
        <f t="shared" si="69"/>
        <v>0.6437774698</v>
      </c>
      <c r="U37" s="12">
        <f t="shared" si="69"/>
        <v>0.652017196</v>
      </c>
      <c r="V37" s="12">
        <f t="shared" si="69"/>
        <v>0.3384062953</v>
      </c>
      <c r="W37" s="12">
        <f t="shared" si="69"/>
        <v>0.09373550545</v>
      </c>
      <c r="X37" s="12">
        <f t="shared" si="69"/>
        <v>0.1685572998</v>
      </c>
      <c r="Y37" s="12">
        <f t="shared" si="69"/>
        <v>0.1890945263</v>
      </c>
      <c r="Z37" s="12">
        <f t="shared" ref="Z37:AA37" si="70">AVERAGE(N206:N211)</f>
        <v>0.8277580142</v>
      </c>
      <c r="AA37" s="12">
        <f t="shared" si="70"/>
        <v>0.787445724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</row>
    <row r="38" ht="15.75" customHeight="1">
      <c r="A38" s="7" t="s">
        <v>15</v>
      </c>
      <c r="B38" s="7" t="s">
        <v>16</v>
      </c>
      <c r="C38" s="7" t="s">
        <v>26</v>
      </c>
      <c r="D38" s="8">
        <v>0.05715371883589902</v>
      </c>
      <c r="E38" s="8">
        <v>0.758051335811615</v>
      </c>
      <c r="F38" s="8">
        <v>0.751952052116394</v>
      </c>
      <c r="G38" s="8">
        <v>0.7549893856048584</v>
      </c>
      <c r="H38" s="8">
        <v>0.4818817546090273</v>
      </c>
      <c r="I38" s="8">
        <v>0.15404201145767027</v>
      </c>
      <c r="J38" s="8">
        <v>0.20470438652256834</v>
      </c>
      <c r="K38" s="8">
        <v>0.2619198982835346</v>
      </c>
      <c r="L38" s="8">
        <v>0.0</v>
      </c>
      <c r="M38" s="8">
        <v>0.0</v>
      </c>
      <c r="N38" s="8">
        <v>0.9999999403953552</v>
      </c>
      <c r="O38" s="8">
        <v>0.8271334767341614</v>
      </c>
      <c r="P38" s="5"/>
      <c r="Q38" s="5" t="s">
        <v>87</v>
      </c>
      <c r="R38" s="12">
        <f t="shared" ref="R38:Y38" si="71">AVERAGE(D212:D217)</f>
        <v>0.02459755703</v>
      </c>
      <c r="S38" s="12">
        <f t="shared" si="71"/>
        <v>0.7436282933</v>
      </c>
      <c r="T38" s="12">
        <f t="shared" si="71"/>
        <v>0.7157491148</v>
      </c>
      <c r="U38" s="12">
        <f t="shared" si="71"/>
        <v>0.7293818692</v>
      </c>
      <c r="V38" s="12">
        <f t="shared" si="71"/>
        <v>0.3762455655</v>
      </c>
      <c r="W38" s="12">
        <f t="shared" si="71"/>
        <v>0.1089459392</v>
      </c>
      <c r="X38" s="12">
        <f t="shared" si="71"/>
        <v>0.1694527743</v>
      </c>
      <c r="Y38" s="12">
        <f t="shared" si="71"/>
        <v>0.2272883962</v>
      </c>
      <c r="Z38" s="12">
        <f t="shared" ref="Z38:AA38" si="72">AVERAGE(N212:N217)</f>
        <v>0.8277580142</v>
      </c>
      <c r="AA38" s="12">
        <f t="shared" si="72"/>
        <v>0.787445724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</row>
    <row r="39" ht="15.75" customHeight="1">
      <c r="A39" s="10" t="s">
        <v>56</v>
      </c>
      <c r="B39" s="10" t="s">
        <v>16</v>
      </c>
      <c r="C39" s="10" t="s">
        <v>26</v>
      </c>
      <c r="D39" s="11">
        <v>0.045429399813521634</v>
      </c>
      <c r="E39" s="11">
        <v>0.7298762202262878</v>
      </c>
      <c r="F39" s="11">
        <v>0.7077732086181641</v>
      </c>
      <c r="G39" s="11">
        <v>0.7186548113822937</v>
      </c>
      <c r="H39" s="11">
        <v>0.4606299212598425</v>
      </c>
      <c r="I39" s="11">
        <v>0.11038107752956637</v>
      </c>
      <c r="J39" s="11">
        <v>0.1968503937007874</v>
      </c>
      <c r="K39" s="11">
        <v>0.2598425196850394</v>
      </c>
      <c r="L39" s="11">
        <v>0.0</v>
      </c>
      <c r="M39" s="11">
        <v>0.0</v>
      </c>
      <c r="N39" s="11">
        <v>0.9999999403953552</v>
      </c>
      <c r="O39" s="11">
        <v>0.5545380711555481</v>
      </c>
      <c r="P39" s="5"/>
      <c r="Q39" s="5" t="s">
        <v>53</v>
      </c>
      <c r="R39" s="12">
        <f t="shared" ref="R39:Y39" si="73">AVERAGE(D218:D223)</f>
        <v>0.05277931629</v>
      </c>
      <c r="S39" s="12">
        <f t="shared" si="73"/>
        <v>0.7490273813</v>
      </c>
      <c r="T39" s="12">
        <f t="shared" si="73"/>
        <v>0.7393089533</v>
      </c>
      <c r="U39" s="12">
        <f t="shared" si="73"/>
        <v>0.7441113691</v>
      </c>
      <c r="V39" s="12">
        <f t="shared" si="73"/>
        <v>0.4868081096</v>
      </c>
      <c r="W39" s="12">
        <f t="shared" si="73"/>
        <v>0.1512671912</v>
      </c>
      <c r="X39" s="12">
        <f t="shared" si="73"/>
        <v>0.1920763191</v>
      </c>
      <c r="Y39" s="12">
        <f t="shared" si="73"/>
        <v>0.2628502115</v>
      </c>
      <c r="Z39" s="12">
        <f t="shared" ref="Z39:AA39" si="74">AVERAGE(N218:N223)</f>
        <v>0.9999999404</v>
      </c>
      <c r="AA39" s="12">
        <f t="shared" si="74"/>
        <v>0.8969452182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</row>
    <row r="40" ht="15.75" customHeight="1">
      <c r="A40" s="7" t="s">
        <v>57</v>
      </c>
      <c r="B40" s="7" t="s">
        <v>16</v>
      </c>
      <c r="C40" s="7" t="s">
        <v>26</v>
      </c>
      <c r="D40" s="8">
        <v>0.07846316044496168</v>
      </c>
      <c r="E40" s="8">
        <v>0.7619577050209045</v>
      </c>
      <c r="F40" s="8">
        <v>0.7462158203125</v>
      </c>
      <c r="G40" s="8">
        <v>0.7540046572685242</v>
      </c>
      <c r="H40" s="8">
        <v>0.489795918367347</v>
      </c>
      <c r="I40" s="8">
        <v>0.1566757493188011</v>
      </c>
      <c r="J40" s="8">
        <v>0.2163265306122449</v>
      </c>
      <c r="K40" s="8">
        <v>0.26258503401360545</v>
      </c>
      <c r="L40" s="8">
        <v>0.0</v>
      </c>
      <c r="M40" s="8">
        <v>0.0</v>
      </c>
      <c r="N40" s="8">
        <v>0.9999999403953552</v>
      </c>
      <c r="O40" s="8">
        <v>0.9999999403953552</v>
      </c>
      <c r="P40" s="5"/>
      <c r="Q40" s="5" t="s">
        <v>54</v>
      </c>
      <c r="R40" s="12">
        <f t="shared" ref="R40:Y40" si="75">AVERAGE(D224:D229)</f>
        <v>0.07028199805</v>
      </c>
      <c r="S40" s="12">
        <f t="shared" si="75"/>
        <v>0.7452420096</v>
      </c>
      <c r="T40" s="12">
        <f t="shared" si="75"/>
        <v>0.7375047207</v>
      </c>
      <c r="U40" s="12">
        <f t="shared" si="75"/>
        <v>0.7413303157</v>
      </c>
      <c r="V40" s="12">
        <f t="shared" si="75"/>
        <v>0.5125828697</v>
      </c>
      <c r="W40" s="12">
        <f t="shared" si="75"/>
        <v>0.1451170632</v>
      </c>
      <c r="X40" s="12">
        <f t="shared" si="75"/>
        <v>0.1895605019</v>
      </c>
      <c r="Y40" s="12">
        <f t="shared" si="75"/>
        <v>0.2735692649</v>
      </c>
      <c r="Z40" s="12">
        <f t="shared" ref="Z40:AA40" si="76">AVERAGE(N224:N229)</f>
        <v>0.9999999404</v>
      </c>
      <c r="AA40" s="12">
        <f t="shared" si="76"/>
        <v>0.8969452182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</row>
    <row r="41" ht="15.75" customHeight="1">
      <c r="A41" s="10" t="s">
        <v>58</v>
      </c>
      <c r="B41" s="10" t="s">
        <v>16</v>
      </c>
      <c r="C41" s="10" t="s">
        <v>26</v>
      </c>
      <c r="D41" s="11">
        <v>0.05552656318798099</v>
      </c>
      <c r="E41" s="11">
        <v>0.7360329627990723</v>
      </c>
      <c r="F41" s="11">
        <v>0.7295037508010864</v>
      </c>
      <c r="G41" s="11">
        <v>0.7327538132667542</v>
      </c>
      <c r="H41" s="11">
        <v>0.46988847583643123</v>
      </c>
      <c r="I41" s="11">
        <v>0.11913626209977661</v>
      </c>
      <c r="J41" s="11">
        <v>0.2037174721189591</v>
      </c>
      <c r="K41" s="11">
        <v>0.26765799256505574</v>
      </c>
      <c r="L41" s="11">
        <v>0.0</v>
      </c>
      <c r="M41" s="11">
        <v>0.0</v>
      </c>
      <c r="N41" s="11">
        <v>0.9999999403953552</v>
      </c>
      <c r="O41" s="11">
        <v>0.9999999403953552</v>
      </c>
      <c r="P41" s="5"/>
      <c r="Q41" s="5" t="s">
        <v>55</v>
      </c>
      <c r="R41" s="12">
        <f t="shared" ref="R41:Y41" si="77">AVERAGE(D230:D235)</f>
        <v>0.07009349714</v>
      </c>
      <c r="S41" s="12">
        <f t="shared" si="77"/>
        <v>0.7476172447</v>
      </c>
      <c r="T41" s="12">
        <f t="shared" si="77"/>
        <v>0.7347340584</v>
      </c>
      <c r="U41" s="12">
        <f t="shared" si="77"/>
        <v>0.7411020796</v>
      </c>
      <c r="V41" s="12">
        <f t="shared" si="77"/>
        <v>0.5031746324</v>
      </c>
      <c r="W41" s="12">
        <f t="shared" si="77"/>
        <v>0.1526574571</v>
      </c>
      <c r="X41" s="12">
        <f t="shared" si="77"/>
        <v>0.1968206776</v>
      </c>
      <c r="Y41" s="12">
        <f t="shared" si="77"/>
        <v>0.2771582058</v>
      </c>
      <c r="Z41" s="12">
        <f t="shared" ref="Z41:AA41" si="78">AVERAGE(N230:N235)</f>
        <v>0.9999999404</v>
      </c>
      <c r="AA41" s="12">
        <f t="shared" si="78"/>
        <v>0.8969452182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</row>
    <row r="42" ht="15.75" customHeight="1">
      <c r="A42" s="7" t="s">
        <v>59</v>
      </c>
      <c r="B42" s="7" t="s">
        <v>16</v>
      </c>
      <c r="C42" s="7" t="s">
        <v>26</v>
      </c>
      <c r="D42" s="8">
        <v>0.0669793795824332</v>
      </c>
      <c r="E42" s="8">
        <v>0.7413948774337769</v>
      </c>
      <c r="F42" s="8">
        <v>0.7325479388237</v>
      </c>
      <c r="G42" s="8">
        <v>0.736944854259491</v>
      </c>
      <c r="H42" s="8">
        <v>0.4903623747108713</v>
      </c>
      <c r="I42" s="8">
        <v>0.13745173745173747</v>
      </c>
      <c r="J42" s="8">
        <v>0.2035466461063994</v>
      </c>
      <c r="K42" s="8">
        <v>0.25597532767925985</v>
      </c>
      <c r="L42" s="8">
        <v>0.0</v>
      </c>
      <c r="M42" s="8">
        <v>0.0</v>
      </c>
      <c r="N42" s="8">
        <v>0.9999999403953552</v>
      </c>
      <c r="O42" s="8">
        <v>0.9999999403953552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</row>
    <row r="43" ht="15.75" customHeight="1">
      <c r="A43" s="10" t="s">
        <v>60</v>
      </c>
      <c r="B43" s="10" t="s">
        <v>16</v>
      </c>
      <c r="C43" s="10" t="s">
        <v>26</v>
      </c>
      <c r="D43" s="11">
        <v>0.06160319533580257</v>
      </c>
      <c r="E43" s="11">
        <v>0.7481473684310913</v>
      </c>
      <c r="F43" s="11">
        <v>0.721924901008606</v>
      </c>
      <c r="G43" s="11">
        <v>0.7348023056983948</v>
      </c>
      <c r="H43" s="11">
        <v>0.4790764790764791</v>
      </c>
      <c r="I43" s="11">
        <v>0.14017341040462428</v>
      </c>
      <c r="J43" s="11">
        <v>0.21356421356421354</v>
      </c>
      <c r="K43" s="11">
        <v>0.2698412698412698</v>
      </c>
      <c r="L43" s="11">
        <v>0.0</v>
      </c>
      <c r="M43" s="11">
        <v>0.0</v>
      </c>
      <c r="N43" s="11">
        <v>0.9999999403953552</v>
      </c>
      <c r="O43" s="11">
        <v>0.9999999403953552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</row>
    <row r="44" ht="15.75" customHeight="1">
      <c r="A44" s="7" t="s">
        <v>15</v>
      </c>
      <c r="B44" s="7" t="s">
        <v>16</v>
      </c>
      <c r="C44" s="7" t="s">
        <v>27</v>
      </c>
      <c r="D44" s="8">
        <v>0.051347904121211374</v>
      </c>
      <c r="E44" s="8">
        <v>0.7596192359924316</v>
      </c>
      <c r="F44" s="8">
        <v>0.7499404549598694</v>
      </c>
      <c r="G44" s="8">
        <v>0.7547488212585449</v>
      </c>
      <c r="H44" s="8">
        <v>0.49044585987261147</v>
      </c>
      <c r="I44" s="8">
        <v>0.1607142857142857</v>
      </c>
      <c r="J44" s="8">
        <v>0.2038216560509554</v>
      </c>
      <c r="K44" s="8">
        <v>0.26114649681528657</v>
      </c>
      <c r="L44" s="8">
        <v>0.0</v>
      </c>
      <c r="M44" s="8">
        <v>0.0</v>
      </c>
      <c r="N44" s="8">
        <v>0.9999999403953552</v>
      </c>
      <c r="O44" s="8">
        <v>0.8271334767341614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</row>
    <row r="45" ht="15.75" customHeight="1">
      <c r="A45" s="10" t="s">
        <v>56</v>
      </c>
      <c r="B45" s="10" t="s">
        <v>16</v>
      </c>
      <c r="C45" s="10" t="s">
        <v>27</v>
      </c>
      <c r="D45" s="11">
        <v>0.04546954866788666</v>
      </c>
      <c r="E45" s="11">
        <v>0.7317137122154236</v>
      </c>
      <c r="F45" s="11">
        <v>0.7089313268661499</v>
      </c>
      <c r="G45" s="11">
        <v>0.7201423645019531</v>
      </c>
      <c r="H45" s="11">
        <v>0.462853385930309</v>
      </c>
      <c r="I45" s="11">
        <v>0.11059907834101382</v>
      </c>
      <c r="J45" s="11">
        <v>0.19723865877712032</v>
      </c>
      <c r="K45" s="11">
        <v>0.2590401051939514</v>
      </c>
      <c r="L45" s="11">
        <v>0.0</v>
      </c>
      <c r="M45" s="11">
        <v>0.0</v>
      </c>
      <c r="N45" s="11">
        <v>0.9999999403953552</v>
      </c>
      <c r="O45" s="11">
        <v>0.5545380711555481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</row>
    <row r="46" ht="15.75" customHeight="1">
      <c r="A46" s="7" t="s">
        <v>57</v>
      </c>
      <c r="B46" s="7" t="s">
        <v>16</v>
      </c>
      <c r="C46" s="7" t="s">
        <v>27</v>
      </c>
      <c r="D46" s="8">
        <v>0.07640176947987139</v>
      </c>
      <c r="E46" s="8">
        <v>0.7661141157150269</v>
      </c>
      <c r="F46" s="8">
        <v>0.7487077116966248</v>
      </c>
      <c r="G46" s="8">
        <v>0.7573109269142151</v>
      </c>
      <c r="H46" s="8">
        <v>0.49079754601226994</v>
      </c>
      <c r="I46" s="8">
        <v>0.1583617747440273</v>
      </c>
      <c r="J46" s="8">
        <v>0.21813224267211997</v>
      </c>
      <c r="K46" s="8">
        <v>0.2603953646898432</v>
      </c>
      <c r="L46" s="8">
        <v>0.0</v>
      </c>
      <c r="M46" s="8">
        <v>0.0</v>
      </c>
      <c r="N46" s="8">
        <v>0.9999999403953552</v>
      </c>
      <c r="O46" s="8">
        <v>0.9999999403953552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</row>
    <row r="47" ht="15.75" customHeight="1">
      <c r="A47" s="10" t="s">
        <v>58</v>
      </c>
      <c r="B47" s="10" t="s">
        <v>16</v>
      </c>
      <c r="C47" s="10" t="s">
        <v>27</v>
      </c>
      <c r="D47" s="11">
        <v>0.05667833210013334</v>
      </c>
      <c r="E47" s="11">
        <v>0.7407324314117432</v>
      </c>
      <c r="F47" s="11">
        <v>0.7318458557128906</v>
      </c>
      <c r="G47" s="11">
        <v>0.7362623810768127</v>
      </c>
      <c r="H47" s="11">
        <v>0.47391952309985097</v>
      </c>
      <c r="I47" s="11">
        <v>0.12089552238805971</v>
      </c>
      <c r="J47" s="11">
        <v>0.21013412816691507</v>
      </c>
      <c r="K47" s="11">
        <v>0.26825633383010433</v>
      </c>
      <c r="L47" s="11">
        <v>0.0</v>
      </c>
      <c r="M47" s="11">
        <v>0.0</v>
      </c>
      <c r="N47" s="11">
        <v>0.9999999403953552</v>
      </c>
      <c r="O47" s="11">
        <v>0.9999999403953552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</row>
    <row r="48" ht="15.75" customHeight="1">
      <c r="A48" s="7" t="s">
        <v>59</v>
      </c>
      <c r="B48" s="7" t="s">
        <v>16</v>
      </c>
      <c r="C48" s="7" t="s">
        <v>27</v>
      </c>
      <c r="D48" s="8">
        <v>0.06476429875913461</v>
      </c>
      <c r="E48" s="8">
        <v>0.7443972826004028</v>
      </c>
      <c r="F48" s="8">
        <v>0.7306452989578247</v>
      </c>
      <c r="G48" s="8">
        <v>0.7374571561813354</v>
      </c>
      <c r="H48" s="8">
        <v>0.4945904173106646</v>
      </c>
      <c r="I48" s="8">
        <v>0.1408668730650155</v>
      </c>
      <c r="J48" s="8">
        <v>0.20401854714064913</v>
      </c>
      <c r="K48" s="8">
        <v>0.2596599690880989</v>
      </c>
      <c r="L48" s="8">
        <v>0.0</v>
      </c>
      <c r="M48" s="8">
        <v>0.0</v>
      </c>
      <c r="N48" s="8">
        <v>0.9999999403953552</v>
      </c>
      <c r="O48" s="8">
        <v>0.9999999403953552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</row>
    <row r="49" ht="15.75" customHeight="1">
      <c r="A49" s="10" t="s">
        <v>60</v>
      </c>
      <c r="B49" s="10" t="s">
        <v>16</v>
      </c>
      <c r="C49" s="10" t="s">
        <v>27</v>
      </c>
      <c r="D49" s="11">
        <v>0.0633194968418332</v>
      </c>
      <c r="E49" s="11">
        <v>0.7510455846786499</v>
      </c>
      <c r="F49" s="11">
        <v>0.7221406698226929</v>
      </c>
      <c r="G49" s="11">
        <v>0.7363095283508301</v>
      </c>
      <c r="H49" s="11">
        <v>0.4844540853217643</v>
      </c>
      <c r="I49" s="11">
        <v>0.14916727009413466</v>
      </c>
      <c r="J49" s="11">
        <v>0.21258134490238614</v>
      </c>
      <c r="K49" s="11">
        <v>0.2689804772234274</v>
      </c>
      <c r="L49" s="11">
        <v>0.0</v>
      </c>
      <c r="M49" s="11">
        <v>0.0</v>
      </c>
      <c r="N49" s="11">
        <v>0.9999999403953552</v>
      </c>
      <c r="O49" s="11">
        <v>0.9999999403953552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</row>
    <row r="50" ht="15.75" customHeight="1">
      <c r="A50" s="7" t="s">
        <v>15</v>
      </c>
      <c r="B50" s="7" t="s">
        <v>16</v>
      </c>
      <c r="C50" s="7" t="s">
        <v>28</v>
      </c>
      <c r="D50" s="8">
        <v>0.04729478509575231</v>
      </c>
      <c r="E50" s="8">
        <v>0.758371889591217</v>
      </c>
      <c r="F50" s="8">
        <v>0.749900221824646</v>
      </c>
      <c r="G50" s="8">
        <v>0.7541122436523438</v>
      </c>
      <c r="H50" s="8">
        <v>0.48063033486539725</v>
      </c>
      <c r="I50" s="8">
        <v>0.16305062458908615</v>
      </c>
      <c r="J50" s="8">
        <v>0.19829284307288247</v>
      </c>
      <c r="K50" s="8">
        <v>0.26526592252133946</v>
      </c>
      <c r="L50" s="8">
        <v>0.0</v>
      </c>
      <c r="M50" s="8">
        <v>0.0</v>
      </c>
      <c r="N50" s="8">
        <v>0.9999999403953552</v>
      </c>
      <c r="O50" s="8">
        <v>0.8271334767341614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</row>
    <row r="51" ht="15.75" customHeight="1">
      <c r="A51" s="10" t="s">
        <v>56</v>
      </c>
      <c r="B51" s="10" t="s">
        <v>16</v>
      </c>
      <c r="C51" s="10" t="s">
        <v>28</v>
      </c>
      <c r="D51" s="11">
        <v>0.04214749408586612</v>
      </c>
      <c r="E51" s="11">
        <v>0.7313814163208008</v>
      </c>
      <c r="F51" s="11">
        <v>0.7093085050582886</v>
      </c>
      <c r="G51" s="11">
        <v>0.7201758623123169</v>
      </c>
      <c r="H51" s="11">
        <v>0.45454545454545453</v>
      </c>
      <c r="I51" s="11">
        <v>0.11141304347826088</v>
      </c>
      <c r="J51" s="11">
        <v>0.19131614654002715</v>
      </c>
      <c r="K51" s="11">
        <v>0.25508819538670285</v>
      </c>
      <c r="L51" s="11">
        <v>0.0</v>
      </c>
      <c r="M51" s="11">
        <v>0.0</v>
      </c>
      <c r="N51" s="11">
        <v>0.9999999403953552</v>
      </c>
      <c r="O51" s="11">
        <v>0.5545380711555481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</row>
    <row r="52" ht="15.75" customHeight="1">
      <c r="A52" s="7" t="s">
        <v>57</v>
      </c>
      <c r="B52" s="7" t="s">
        <v>16</v>
      </c>
      <c r="C52" s="7" t="s">
        <v>28</v>
      </c>
      <c r="D52" s="8">
        <v>0.07149637424063646</v>
      </c>
      <c r="E52" s="8">
        <v>0.7648155689239502</v>
      </c>
      <c r="F52" s="8">
        <v>0.7478376626968384</v>
      </c>
      <c r="G52" s="8">
        <v>0.7562313079833984</v>
      </c>
      <c r="H52" s="8">
        <v>0.4830985915492958</v>
      </c>
      <c r="I52" s="8">
        <v>0.15655853314527501</v>
      </c>
      <c r="J52" s="8">
        <v>0.21549295774647886</v>
      </c>
      <c r="K52" s="8">
        <v>0.25915492957746483</v>
      </c>
      <c r="L52" s="8">
        <v>0.0</v>
      </c>
      <c r="M52" s="8">
        <v>0.0</v>
      </c>
      <c r="N52" s="8">
        <v>0.9999999403953552</v>
      </c>
      <c r="O52" s="8">
        <v>0.9999999403953552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</row>
    <row r="53" ht="15.75" customHeight="1">
      <c r="A53" s="10" t="s">
        <v>58</v>
      </c>
      <c r="B53" s="10" t="s">
        <v>16</v>
      </c>
      <c r="C53" s="10" t="s">
        <v>28</v>
      </c>
      <c r="D53" s="11">
        <v>0.05412682161184386</v>
      </c>
      <c r="E53" s="11">
        <v>0.7399179935455322</v>
      </c>
      <c r="F53" s="11">
        <v>0.731739342212677</v>
      </c>
      <c r="G53" s="11">
        <v>0.7358059883117676</v>
      </c>
      <c r="H53" s="11">
        <v>0.46795366795366794</v>
      </c>
      <c r="I53" s="11">
        <v>0.11910286156225831</v>
      </c>
      <c r="J53" s="11">
        <v>0.21158301158301157</v>
      </c>
      <c r="K53" s="11">
        <v>0.27335907335907333</v>
      </c>
      <c r="L53" s="11">
        <v>0.0</v>
      </c>
      <c r="M53" s="11">
        <v>0.0</v>
      </c>
      <c r="N53" s="11">
        <v>0.9999999403953552</v>
      </c>
      <c r="O53" s="11">
        <v>0.9999999403953552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</row>
    <row r="54" ht="15.75" customHeight="1">
      <c r="A54" s="7" t="s">
        <v>59</v>
      </c>
      <c r="B54" s="7" t="s">
        <v>16</v>
      </c>
      <c r="C54" s="7" t="s">
        <v>28</v>
      </c>
      <c r="D54" s="8">
        <v>0.05866973461636469</v>
      </c>
      <c r="E54" s="8">
        <v>0.7438154816627502</v>
      </c>
      <c r="F54" s="8">
        <v>0.7312800884246826</v>
      </c>
      <c r="G54" s="8">
        <v>0.7374945282936096</v>
      </c>
      <c r="H54" s="8">
        <v>0.48596631916599836</v>
      </c>
      <c r="I54" s="8">
        <v>0.1429718875502008</v>
      </c>
      <c r="J54" s="8">
        <v>0.1988773055332799</v>
      </c>
      <c r="K54" s="8">
        <v>0.2758620689655173</v>
      </c>
      <c r="L54" s="8">
        <v>0.0</v>
      </c>
      <c r="M54" s="8">
        <v>0.0</v>
      </c>
      <c r="N54" s="8">
        <v>0.9999999403953552</v>
      </c>
      <c r="O54" s="8">
        <v>0.9999999403953552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</row>
    <row r="55" ht="15.75" customHeight="1">
      <c r="A55" s="10" t="s">
        <v>60</v>
      </c>
      <c r="B55" s="10" t="s">
        <v>16</v>
      </c>
      <c r="C55" s="10" t="s">
        <v>28</v>
      </c>
      <c r="D55" s="11">
        <v>0.059558473516031926</v>
      </c>
      <c r="E55" s="11">
        <v>0.7506985664367676</v>
      </c>
      <c r="F55" s="11">
        <v>0.7224233746528625</v>
      </c>
      <c r="G55" s="11">
        <v>0.7362896800041199</v>
      </c>
      <c r="H55" s="11">
        <v>0.48652694610778435</v>
      </c>
      <c r="I55" s="11">
        <v>0.14842578710644677</v>
      </c>
      <c r="J55" s="11">
        <v>0.21107784431137722</v>
      </c>
      <c r="K55" s="11">
        <v>0.27245508982035926</v>
      </c>
      <c r="L55" s="11">
        <v>0.0</v>
      </c>
      <c r="M55" s="11">
        <v>0.0</v>
      </c>
      <c r="N55" s="11">
        <v>0.9999999403953552</v>
      </c>
      <c r="O55" s="11">
        <v>0.9999999403953552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</row>
    <row r="56" ht="15.75" customHeight="1">
      <c r="A56" s="7" t="s">
        <v>15</v>
      </c>
      <c r="B56" s="7" t="s">
        <v>16</v>
      </c>
      <c r="C56" s="7" t="s">
        <v>17</v>
      </c>
      <c r="D56" s="8">
        <v>0.09074548452340513</v>
      </c>
      <c r="E56" s="8">
        <v>0.7501270771026611</v>
      </c>
      <c r="F56" s="8">
        <v>0.751420259475708</v>
      </c>
      <c r="G56" s="8">
        <v>0.7507731318473816</v>
      </c>
      <c r="H56" s="8">
        <v>0.5307730182176267</v>
      </c>
      <c r="I56" s="8">
        <v>0.1784130113356333</v>
      </c>
      <c r="J56" s="8">
        <v>0.190054160512063</v>
      </c>
      <c r="K56" s="8">
        <v>0.28163466272772036</v>
      </c>
      <c r="L56" s="8">
        <v>0.0</v>
      </c>
      <c r="M56" s="8">
        <v>0.0</v>
      </c>
      <c r="N56" s="8">
        <v>0.9999999403953552</v>
      </c>
      <c r="O56" s="8">
        <v>0.8271334767341614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</row>
    <row r="57" ht="15.75" customHeight="1">
      <c r="A57" s="10" t="s">
        <v>56</v>
      </c>
      <c r="B57" s="10" t="s">
        <v>16</v>
      </c>
      <c r="C57" s="10" t="s">
        <v>17</v>
      </c>
      <c r="D57" s="11">
        <v>0.06207455062398891</v>
      </c>
      <c r="E57" s="11">
        <v>0.7311623096466064</v>
      </c>
      <c r="F57" s="11">
        <v>0.7167307138442993</v>
      </c>
      <c r="G57" s="11">
        <v>0.723874568939209</v>
      </c>
      <c r="H57" s="11">
        <v>0.4803229061553986</v>
      </c>
      <c r="I57" s="11">
        <v>0.14444444444444443</v>
      </c>
      <c r="J57" s="11">
        <v>0.18365287588294651</v>
      </c>
      <c r="K57" s="11">
        <v>0.25529767911200807</v>
      </c>
      <c r="L57" s="11">
        <v>0.0</v>
      </c>
      <c r="M57" s="11">
        <v>0.0</v>
      </c>
      <c r="N57" s="11">
        <v>0.9999999403953552</v>
      </c>
      <c r="O57" s="11">
        <v>0.5545380711555481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</row>
    <row r="58" ht="15.75" customHeight="1">
      <c r="A58" s="7" t="s">
        <v>57</v>
      </c>
      <c r="B58" s="7" t="s">
        <v>16</v>
      </c>
      <c r="C58" s="7" t="s">
        <v>17</v>
      </c>
      <c r="D58" s="8">
        <v>0.10199457309034554</v>
      </c>
      <c r="E58" s="8">
        <v>0.7517716884613037</v>
      </c>
      <c r="F58" s="8">
        <v>0.7481613159179688</v>
      </c>
      <c r="G58" s="8">
        <v>0.7499621510505676</v>
      </c>
      <c r="H58" s="8">
        <v>0.5145228215767634</v>
      </c>
      <c r="I58" s="8">
        <v>0.16095534787123572</v>
      </c>
      <c r="J58" s="8">
        <v>0.19502074688796678</v>
      </c>
      <c r="K58" s="8">
        <v>0.29045643153526973</v>
      </c>
      <c r="L58" s="8">
        <v>0.0</v>
      </c>
      <c r="M58" s="8">
        <v>0.0</v>
      </c>
      <c r="N58" s="8">
        <v>0.9999999403953552</v>
      </c>
      <c r="O58" s="8">
        <v>0.9999999403953552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</row>
    <row r="59" ht="15.75" customHeight="1">
      <c r="A59" s="10" t="s">
        <v>58</v>
      </c>
      <c r="B59" s="10" t="s">
        <v>16</v>
      </c>
      <c r="C59" s="10" t="s">
        <v>17</v>
      </c>
      <c r="D59" s="11">
        <v>0.05534937492436973</v>
      </c>
      <c r="E59" s="11">
        <v>0.7377815246582031</v>
      </c>
      <c r="F59" s="11">
        <v>0.7358982563018799</v>
      </c>
      <c r="G59" s="11">
        <v>0.736838698387146</v>
      </c>
      <c r="H59" s="11">
        <v>0.45812534664448146</v>
      </c>
      <c r="I59" s="11">
        <v>0.12215435868961688</v>
      </c>
      <c r="J59" s="11">
        <v>0.1808097615085968</v>
      </c>
      <c r="K59" s="11">
        <v>0.23849140321686077</v>
      </c>
      <c r="L59" s="11">
        <v>0.0</v>
      </c>
      <c r="M59" s="11">
        <v>0.0</v>
      </c>
      <c r="N59" s="11">
        <v>0.9999999403953552</v>
      </c>
      <c r="O59" s="11">
        <v>0.9999999403953552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</row>
    <row r="60" ht="15.75" customHeight="1">
      <c r="A60" s="7" t="s">
        <v>59</v>
      </c>
      <c r="B60" s="7" t="s">
        <v>16</v>
      </c>
      <c r="C60" s="7" t="s">
        <v>17</v>
      </c>
      <c r="D60" s="8">
        <v>0.06309750255848669</v>
      </c>
      <c r="E60" s="8">
        <v>0.7333807945251465</v>
      </c>
      <c r="F60" s="8">
        <v>0.7291799783706665</v>
      </c>
      <c r="G60" s="8">
        <v>0.7312743663787842</v>
      </c>
      <c r="H60" s="8">
        <v>0.46267806267806266</v>
      </c>
      <c r="I60" s="8">
        <v>0.12892184826012548</v>
      </c>
      <c r="J60" s="8">
        <v>0.18233618233618232</v>
      </c>
      <c r="K60" s="8">
        <v>0.26096866096866095</v>
      </c>
      <c r="L60" s="8">
        <v>0.0</v>
      </c>
      <c r="M60" s="8">
        <v>0.0</v>
      </c>
      <c r="N60" s="8">
        <v>0.9999999403953552</v>
      </c>
      <c r="O60" s="8">
        <v>0.9999999403953552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</row>
    <row r="61" ht="15.75" customHeight="1">
      <c r="A61" s="10" t="s">
        <v>60</v>
      </c>
      <c r="B61" s="10" t="s">
        <v>16</v>
      </c>
      <c r="C61" s="10" t="s">
        <v>17</v>
      </c>
      <c r="D61" s="11">
        <v>0.0707656994772773</v>
      </c>
      <c r="E61" s="11">
        <v>0.7437586784362793</v>
      </c>
      <c r="F61" s="11">
        <v>0.7307406663894653</v>
      </c>
      <c r="G61" s="11">
        <v>0.7371922135353088</v>
      </c>
      <c r="H61" s="11">
        <v>0.5173535791757051</v>
      </c>
      <c r="I61" s="11">
        <v>0.1791530944625407</v>
      </c>
      <c r="J61" s="11">
        <v>0.18872017353579176</v>
      </c>
      <c r="K61" s="11">
        <v>0.2841648590021692</v>
      </c>
      <c r="L61" s="11">
        <v>0.0</v>
      </c>
      <c r="M61" s="11">
        <v>0.0</v>
      </c>
      <c r="N61" s="11">
        <v>0.9999999403953552</v>
      </c>
      <c r="O61" s="11">
        <v>0.9999999403953552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</row>
    <row r="62" ht="15.75" customHeight="1">
      <c r="A62" s="7" t="s">
        <v>15</v>
      </c>
      <c r="B62" s="7" t="s">
        <v>16</v>
      </c>
      <c r="C62" s="7" t="s">
        <v>18</v>
      </c>
      <c r="D62" s="8">
        <v>0.09438579173566645</v>
      </c>
      <c r="E62" s="8">
        <v>0.7499855756759644</v>
      </c>
      <c r="F62" s="8">
        <v>0.7521843314170837</v>
      </c>
      <c r="G62" s="8">
        <v>0.7510833740234375</v>
      </c>
      <c r="H62" s="8">
        <v>0.5307125307125307</v>
      </c>
      <c r="I62" s="8">
        <v>0.17314313821938024</v>
      </c>
      <c r="J62" s="8">
        <v>0.19262899262899263</v>
      </c>
      <c r="K62" s="8">
        <v>0.28206388206388205</v>
      </c>
      <c r="L62" s="8">
        <v>0.0</v>
      </c>
      <c r="M62" s="8">
        <v>0.0</v>
      </c>
      <c r="N62" s="8">
        <v>0.9999999403953552</v>
      </c>
      <c r="O62" s="8">
        <v>0.8271334767341614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</row>
    <row r="63" ht="15.75" customHeight="1">
      <c r="A63" s="10" t="s">
        <v>56</v>
      </c>
      <c r="B63" s="10" t="s">
        <v>16</v>
      </c>
      <c r="C63" s="10" t="s">
        <v>18</v>
      </c>
      <c r="D63" s="11">
        <v>0.06266801524210852</v>
      </c>
      <c r="E63" s="11">
        <v>0.737136721611023</v>
      </c>
      <c r="F63" s="11">
        <v>0.7205666303634644</v>
      </c>
      <c r="G63" s="11">
        <v>0.7287575006484985</v>
      </c>
      <c r="H63" s="11">
        <v>0.47935548841893255</v>
      </c>
      <c r="I63" s="11">
        <v>0.14112903225806453</v>
      </c>
      <c r="J63" s="11">
        <v>0.18429003021148035</v>
      </c>
      <c r="K63" s="11">
        <v>0.24974823766364548</v>
      </c>
      <c r="L63" s="11">
        <v>0.0</v>
      </c>
      <c r="M63" s="11">
        <v>0.0</v>
      </c>
      <c r="N63" s="11">
        <v>0.9999999403953552</v>
      </c>
      <c r="O63" s="11">
        <v>0.5545380711555481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</row>
    <row r="64" ht="15.75" customHeight="1">
      <c r="A64" s="7" t="s">
        <v>57</v>
      </c>
      <c r="B64" s="7" t="s">
        <v>16</v>
      </c>
      <c r="C64" s="7" t="s">
        <v>18</v>
      </c>
      <c r="D64" s="8">
        <v>0.10349588411581717</v>
      </c>
      <c r="E64" s="8">
        <v>0.7569897770881653</v>
      </c>
      <c r="F64" s="8">
        <v>0.7503923177719116</v>
      </c>
      <c r="G64" s="8">
        <v>0.7536765336990356</v>
      </c>
      <c r="H64" s="8">
        <v>0.515527950310559</v>
      </c>
      <c r="I64" s="8">
        <v>0.16683937823834197</v>
      </c>
      <c r="J64" s="8">
        <v>0.19565217391304346</v>
      </c>
      <c r="K64" s="8">
        <v>0.28881987577639756</v>
      </c>
      <c r="L64" s="8">
        <v>0.0</v>
      </c>
      <c r="M64" s="8">
        <v>0.0</v>
      </c>
      <c r="N64" s="8">
        <v>0.9999999403953552</v>
      </c>
      <c r="O64" s="8">
        <v>0.9999999403953552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</row>
    <row r="65" ht="15.75" customHeight="1">
      <c r="A65" s="10" t="s">
        <v>58</v>
      </c>
      <c r="B65" s="10" t="s">
        <v>16</v>
      </c>
      <c r="C65" s="10" t="s">
        <v>18</v>
      </c>
      <c r="D65" s="11">
        <v>0.054485461767391864</v>
      </c>
      <c r="E65" s="11">
        <v>0.7403286695480347</v>
      </c>
      <c r="F65" s="11">
        <v>0.7397989630699158</v>
      </c>
      <c r="G65" s="11">
        <v>0.7400637269020081</v>
      </c>
      <c r="H65" s="11">
        <v>0.4593248478140565</v>
      </c>
      <c r="I65" s="11">
        <v>0.11745152354570638</v>
      </c>
      <c r="J65" s="11">
        <v>0.18483674598782512</v>
      </c>
      <c r="K65" s="11">
        <v>0.2490315439955728</v>
      </c>
      <c r="L65" s="11">
        <v>0.0</v>
      </c>
      <c r="M65" s="11">
        <v>0.0</v>
      </c>
      <c r="N65" s="11">
        <v>0.9999999403953552</v>
      </c>
      <c r="O65" s="11">
        <v>0.9999999403953552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</row>
    <row r="66" ht="15.75" customHeight="1">
      <c r="A66" s="7" t="s">
        <v>59</v>
      </c>
      <c r="B66" s="7" t="s">
        <v>16</v>
      </c>
      <c r="C66" s="7" t="s">
        <v>18</v>
      </c>
      <c r="D66" s="8">
        <v>0.06720058980505773</v>
      </c>
      <c r="E66" s="8">
        <v>0.7340750694274902</v>
      </c>
      <c r="F66" s="8">
        <v>0.7282154560089111</v>
      </c>
      <c r="G66" s="8">
        <v>0.7311335206031799</v>
      </c>
      <c r="H66" s="8">
        <v>0.46503695281409896</v>
      </c>
      <c r="I66" s="8">
        <v>0.13545816733067728</v>
      </c>
      <c r="J66" s="8">
        <v>0.1841955656623081</v>
      </c>
      <c r="K66" s="8">
        <v>0.2637862421830586</v>
      </c>
      <c r="L66" s="8">
        <v>0.0</v>
      </c>
      <c r="M66" s="8">
        <v>0.0</v>
      </c>
      <c r="N66" s="8">
        <v>0.9999999403953552</v>
      </c>
      <c r="O66" s="8">
        <v>0.9999999403953552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</row>
    <row r="67" ht="15.75" customHeight="1">
      <c r="A67" s="10" t="s">
        <v>60</v>
      </c>
      <c r="B67" s="10" t="s">
        <v>16</v>
      </c>
      <c r="C67" s="10" t="s">
        <v>18</v>
      </c>
      <c r="D67" s="11">
        <v>0.06961911879111932</v>
      </c>
      <c r="E67" s="11">
        <v>0.7465602159500122</v>
      </c>
      <c r="F67" s="11">
        <v>0.7302542328834534</v>
      </c>
      <c r="G67" s="11">
        <v>0.7383171916007996</v>
      </c>
      <c r="H67" s="11">
        <v>0.5183982683982684</v>
      </c>
      <c r="I67" s="11">
        <v>0.17118093174431204</v>
      </c>
      <c r="J67" s="11">
        <v>0.18614718614718614</v>
      </c>
      <c r="K67" s="11">
        <v>0.2824675324675325</v>
      </c>
      <c r="L67" s="11">
        <v>0.0</v>
      </c>
      <c r="M67" s="11">
        <v>0.0</v>
      </c>
      <c r="N67" s="11">
        <v>0.9999999403953552</v>
      </c>
      <c r="O67" s="11">
        <v>0.9999999403953552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</row>
    <row r="68" ht="15.75" customHeight="1">
      <c r="A68" s="7" t="s">
        <v>15</v>
      </c>
      <c r="B68" s="7" t="s">
        <v>16</v>
      </c>
      <c r="C68" s="7" t="s">
        <v>19</v>
      </c>
      <c r="D68" s="8">
        <v>0.08873859516496355</v>
      </c>
      <c r="E68" s="8">
        <v>0.75095534324646</v>
      </c>
      <c r="F68" s="8">
        <v>0.7501893043518066</v>
      </c>
      <c r="G68" s="8">
        <v>0.750572144985199</v>
      </c>
      <c r="H68" s="8">
        <v>0.5310059715204409</v>
      </c>
      <c r="I68" s="8">
        <v>0.16919540229885058</v>
      </c>
      <c r="J68" s="8">
        <v>0.1938447404685347</v>
      </c>
      <c r="K68" s="8">
        <v>0.28479559026182816</v>
      </c>
      <c r="L68" s="8">
        <v>0.0</v>
      </c>
      <c r="M68" s="8">
        <v>0.0</v>
      </c>
      <c r="N68" s="8">
        <v>0.9999999403953552</v>
      </c>
      <c r="O68" s="8">
        <v>0.8271334767341614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</row>
    <row r="69" ht="15.75" customHeight="1">
      <c r="A69" s="10" t="s">
        <v>56</v>
      </c>
      <c r="B69" s="10" t="s">
        <v>16</v>
      </c>
      <c r="C69" s="10" t="s">
        <v>19</v>
      </c>
      <c r="D69" s="11">
        <v>0.05428635707246909</v>
      </c>
      <c r="E69" s="11">
        <v>0.7312397956848145</v>
      </c>
      <c r="F69" s="11">
        <v>0.713051974773407</v>
      </c>
      <c r="G69" s="11">
        <v>0.72203129529953</v>
      </c>
      <c r="H69" s="11">
        <v>0.4671052631578948</v>
      </c>
      <c r="I69" s="11">
        <v>0.1279397930385701</v>
      </c>
      <c r="J69" s="11">
        <v>0.17481203007518797</v>
      </c>
      <c r="K69" s="11">
        <v>0.2565789473684211</v>
      </c>
      <c r="L69" s="11">
        <v>0.0</v>
      </c>
      <c r="M69" s="11">
        <v>0.0</v>
      </c>
      <c r="N69" s="11">
        <v>0.9999999403953552</v>
      </c>
      <c r="O69" s="11">
        <v>0.5545380711555481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</row>
    <row r="70" ht="15.75" customHeight="1">
      <c r="A70" s="7" t="s">
        <v>57</v>
      </c>
      <c r="B70" s="7" t="s">
        <v>16</v>
      </c>
      <c r="C70" s="7" t="s">
        <v>19</v>
      </c>
      <c r="D70" s="8">
        <v>0.09639470435895699</v>
      </c>
      <c r="E70" s="8">
        <v>0.7560957670211792</v>
      </c>
      <c r="F70" s="8">
        <v>0.741830587387085</v>
      </c>
      <c r="G70" s="8">
        <v>0.7488952279090881</v>
      </c>
      <c r="H70" s="8">
        <v>0.49373191899710706</v>
      </c>
      <c r="I70" s="8">
        <v>0.166023166023166</v>
      </c>
      <c r="J70" s="8">
        <v>0.18997107039537128</v>
      </c>
      <c r="K70" s="8">
        <v>0.28640308582449375</v>
      </c>
      <c r="L70" s="8">
        <v>0.0</v>
      </c>
      <c r="M70" s="8">
        <v>0.0</v>
      </c>
      <c r="N70" s="8">
        <v>0.9999999403953552</v>
      </c>
      <c r="O70" s="8">
        <v>0.9999999403953552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</row>
    <row r="71" ht="15.75" customHeight="1">
      <c r="A71" s="10" t="s">
        <v>58</v>
      </c>
      <c r="B71" s="10" t="s">
        <v>16</v>
      </c>
      <c r="C71" s="10" t="s">
        <v>19</v>
      </c>
      <c r="D71" s="11">
        <v>0.05441640871623879</v>
      </c>
      <c r="E71" s="11">
        <v>0.7367940545082092</v>
      </c>
      <c r="F71" s="11">
        <v>0.7311467528343201</v>
      </c>
      <c r="G71" s="11">
        <v>0.7339595556259155</v>
      </c>
      <c r="H71" s="11">
        <v>0.4350949204720369</v>
      </c>
      <c r="I71" s="11">
        <v>0.11504879301489469</v>
      </c>
      <c r="J71" s="11">
        <v>0.1806054386865059</v>
      </c>
      <c r="K71" s="11">
        <v>0.2483324781939456</v>
      </c>
      <c r="L71" s="11">
        <v>0.0</v>
      </c>
      <c r="M71" s="11">
        <v>0.0</v>
      </c>
      <c r="N71" s="11">
        <v>0.9999999403953552</v>
      </c>
      <c r="O71" s="11">
        <v>0.9999999403953552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</row>
    <row r="72" ht="15.75" customHeight="1">
      <c r="A72" s="7" t="s">
        <v>59</v>
      </c>
      <c r="B72" s="7" t="s">
        <v>16</v>
      </c>
      <c r="C72" s="7" t="s">
        <v>19</v>
      </c>
      <c r="D72" s="8">
        <v>0.06456419557361492</v>
      </c>
      <c r="E72" s="8">
        <v>0.738587498664856</v>
      </c>
      <c r="F72" s="8">
        <v>0.7336949110031128</v>
      </c>
      <c r="G72" s="8">
        <v>0.7361330986022949</v>
      </c>
      <c r="H72" s="8">
        <v>0.4471330878485008</v>
      </c>
      <c r="I72" s="8">
        <v>0.14323328067403895</v>
      </c>
      <c r="J72" s="8">
        <v>0.1862177801157286</v>
      </c>
      <c r="K72" s="8">
        <v>0.2630194634402946</v>
      </c>
      <c r="L72" s="8">
        <v>0.0</v>
      </c>
      <c r="M72" s="8">
        <v>0.0</v>
      </c>
      <c r="N72" s="8">
        <v>0.9999999403953552</v>
      </c>
      <c r="O72" s="8">
        <v>0.9999999403953552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ht="15.75" customHeight="1">
      <c r="A73" s="10" t="s">
        <v>60</v>
      </c>
      <c r="B73" s="10" t="s">
        <v>16</v>
      </c>
      <c r="C73" s="10" t="s">
        <v>19</v>
      </c>
      <c r="D73" s="11">
        <v>0.06036187001114117</v>
      </c>
      <c r="E73" s="11">
        <v>0.7471856474876404</v>
      </c>
      <c r="F73" s="11">
        <v>0.7358137369155884</v>
      </c>
      <c r="G73" s="11">
        <v>0.741456151008606</v>
      </c>
      <c r="H73" s="11">
        <v>0.49849246231155786</v>
      </c>
      <c r="I73" s="11">
        <v>0.17002012072434608</v>
      </c>
      <c r="J73" s="11">
        <v>0.1809045226130653</v>
      </c>
      <c r="K73" s="11">
        <v>0.27537688442211056</v>
      </c>
      <c r="L73" s="11">
        <v>0.0</v>
      </c>
      <c r="M73" s="11">
        <v>0.0</v>
      </c>
      <c r="N73" s="11">
        <v>0.9999999403953552</v>
      </c>
      <c r="O73" s="11">
        <v>0.9999999403953552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</row>
    <row r="74" ht="15.75" customHeight="1">
      <c r="A74" s="7" t="s">
        <v>15</v>
      </c>
      <c r="B74" s="7" t="s">
        <v>16</v>
      </c>
      <c r="C74" s="7" t="s">
        <v>29</v>
      </c>
      <c r="D74" s="8">
        <v>0.06646623444698056</v>
      </c>
      <c r="E74" s="8">
        <v>0.7449965476989746</v>
      </c>
      <c r="F74" s="8">
        <v>0.735444962978363</v>
      </c>
      <c r="G74" s="8">
        <v>0.7401899099349976</v>
      </c>
      <c r="H74" s="8">
        <v>0.4758454106280193</v>
      </c>
      <c r="I74" s="8">
        <v>0.13905683192261187</v>
      </c>
      <c r="J74" s="8">
        <v>0.19323671497584538</v>
      </c>
      <c r="K74" s="8">
        <v>0.2669082125603865</v>
      </c>
      <c r="L74" s="8">
        <v>0.0</v>
      </c>
      <c r="M74" s="8">
        <v>0.0</v>
      </c>
      <c r="N74" s="8">
        <v>0.9999999403953552</v>
      </c>
      <c r="O74" s="8">
        <v>0.8271334767341614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</row>
    <row r="75" ht="15.75" customHeight="1">
      <c r="A75" s="10" t="s">
        <v>56</v>
      </c>
      <c r="B75" s="10" t="s">
        <v>16</v>
      </c>
      <c r="C75" s="10" t="s">
        <v>29</v>
      </c>
      <c r="D75" s="11">
        <v>0.040185484295633275</v>
      </c>
      <c r="E75" s="11">
        <v>0.7201623916625977</v>
      </c>
      <c r="F75" s="11">
        <v>0.7000766396522522</v>
      </c>
      <c r="G75" s="11">
        <v>0.7099775075912476</v>
      </c>
      <c r="H75" s="11">
        <v>0.43061605476042314</v>
      </c>
      <c r="I75" s="11">
        <v>0.10841121495327102</v>
      </c>
      <c r="J75" s="11">
        <v>0.18419415059116365</v>
      </c>
      <c r="K75" s="11">
        <v>0.25015556938394523</v>
      </c>
      <c r="L75" s="11">
        <v>0.0</v>
      </c>
      <c r="M75" s="11">
        <v>0.0</v>
      </c>
      <c r="N75" s="11">
        <v>0.9999999403953552</v>
      </c>
      <c r="O75" s="11">
        <v>0.5545380711555481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</row>
    <row r="76" ht="15.75" customHeight="1">
      <c r="A76" s="7" t="s">
        <v>57</v>
      </c>
      <c r="B76" s="7" t="s">
        <v>16</v>
      </c>
      <c r="C76" s="7" t="s">
        <v>29</v>
      </c>
      <c r="D76" s="8">
        <v>0.07296654213456329</v>
      </c>
      <c r="E76" s="8">
        <v>0.7609703540802002</v>
      </c>
      <c r="F76" s="8">
        <v>0.7428248524665833</v>
      </c>
      <c r="G76" s="8">
        <v>0.7517881393432617</v>
      </c>
      <c r="H76" s="8">
        <v>0.5009658725048294</v>
      </c>
      <c r="I76" s="8">
        <v>0.1289490651192779</v>
      </c>
      <c r="J76" s="8">
        <v>0.21249195106245977</v>
      </c>
      <c r="K76" s="8">
        <v>0.2807469414037347</v>
      </c>
      <c r="L76" s="8">
        <v>0.0</v>
      </c>
      <c r="M76" s="8">
        <v>0.0</v>
      </c>
      <c r="N76" s="8">
        <v>0.9999999403953552</v>
      </c>
      <c r="O76" s="8">
        <v>0.9999999403953552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</row>
    <row r="77" ht="15.75" customHeight="1">
      <c r="A77" s="10" t="s">
        <v>58</v>
      </c>
      <c r="B77" s="10" t="s">
        <v>16</v>
      </c>
      <c r="C77" s="10" t="s">
        <v>29</v>
      </c>
      <c r="D77" s="11">
        <v>0.06187351217933241</v>
      </c>
      <c r="E77" s="11">
        <v>0.7361167669296265</v>
      </c>
      <c r="F77" s="11">
        <v>0.7280188798904419</v>
      </c>
      <c r="G77" s="11">
        <v>0.7320454120635986</v>
      </c>
      <c r="H77" s="11">
        <v>0.46078431372549017</v>
      </c>
      <c r="I77" s="11">
        <v>0.11921458625525946</v>
      </c>
      <c r="J77" s="11">
        <v>0.18907563025210083</v>
      </c>
      <c r="K77" s="11">
        <v>0.26330532212885155</v>
      </c>
      <c r="L77" s="11">
        <v>0.0</v>
      </c>
      <c r="M77" s="11">
        <v>0.0</v>
      </c>
      <c r="N77" s="11">
        <v>0.9999999403953552</v>
      </c>
      <c r="O77" s="11">
        <v>0.9999999403953552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</row>
    <row r="78" ht="15.75" customHeight="1">
      <c r="A78" s="7" t="s">
        <v>59</v>
      </c>
      <c r="B78" s="7" t="s">
        <v>16</v>
      </c>
      <c r="C78" s="7" t="s">
        <v>29</v>
      </c>
      <c r="D78" s="8">
        <v>0.08439635494575806</v>
      </c>
      <c r="E78" s="8">
        <v>0.7463844418525696</v>
      </c>
      <c r="F78" s="8">
        <v>0.7293275594711304</v>
      </c>
      <c r="G78" s="8">
        <v>0.7377573847770691</v>
      </c>
      <c r="H78" s="8">
        <v>0.47101449275362317</v>
      </c>
      <c r="I78" s="8">
        <v>0.14513788098693758</v>
      </c>
      <c r="J78" s="8">
        <v>0.19130434782608693</v>
      </c>
      <c r="K78" s="8">
        <v>0.2782608695652174</v>
      </c>
      <c r="L78" s="8">
        <v>0.0</v>
      </c>
      <c r="M78" s="8">
        <v>0.0</v>
      </c>
      <c r="N78" s="8">
        <v>0.9999999403953552</v>
      </c>
      <c r="O78" s="8">
        <v>0.9999999403953552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</row>
    <row r="79" ht="15.75" customHeight="1">
      <c r="A79" s="10" t="s">
        <v>60</v>
      </c>
      <c r="B79" s="10" t="s">
        <v>16</v>
      </c>
      <c r="C79" s="10" t="s">
        <v>29</v>
      </c>
      <c r="D79" s="11">
        <v>0.07038219150338709</v>
      </c>
      <c r="E79" s="11">
        <v>0.7487555146217346</v>
      </c>
      <c r="F79" s="11">
        <v>0.7238390445709229</v>
      </c>
      <c r="G79" s="11">
        <v>0.7360864877700806</v>
      </c>
      <c r="H79" s="11">
        <v>0.5159972770592239</v>
      </c>
      <c r="I79" s="11">
        <v>0.1622358554873892</v>
      </c>
      <c r="J79" s="11">
        <v>0.20694349897889722</v>
      </c>
      <c r="K79" s="11">
        <v>0.2940776038121171</v>
      </c>
      <c r="L79" s="11">
        <v>0.0</v>
      </c>
      <c r="M79" s="11">
        <v>0.0</v>
      </c>
      <c r="N79" s="11">
        <v>0.9999999403953552</v>
      </c>
      <c r="O79" s="11">
        <v>0.9999999403953552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</row>
    <row r="80" ht="15.75" customHeight="1">
      <c r="A80" s="7" t="s">
        <v>15</v>
      </c>
      <c r="B80" s="7" t="s">
        <v>16</v>
      </c>
      <c r="C80" s="7" t="s">
        <v>30</v>
      </c>
      <c r="D80" s="8">
        <v>0.04299475459800284</v>
      </c>
      <c r="E80" s="8">
        <v>0.7420433759689331</v>
      </c>
      <c r="F80" s="8">
        <v>0.7358570098876953</v>
      </c>
      <c r="G80" s="8">
        <v>0.7389371991157532</v>
      </c>
      <c r="H80" s="8">
        <v>0.44266666666666665</v>
      </c>
      <c r="I80" s="8">
        <v>0.13217623497997327</v>
      </c>
      <c r="J80" s="8">
        <v>0.17733333333333332</v>
      </c>
      <c r="K80" s="8">
        <v>0.25199999999999995</v>
      </c>
      <c r="L80" s="8">
        <v>0.0</v>
      </c>
      <c r="M80" s="8">
        <v>0.0</v>
      </c>
      <c r="N80" s="8">
        <v>0.7693519592285156</v>
      </c>
      <c r="O80" s="8">
        <v>0.8153265714645386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</row>
    <row r="81" ht="15.75" customHeight="1">
      <c r="A81" s="10" t="s">
        <v>56</v>
      </c>
      <c r="B81" s="10" t="s">
        <v>16</v>
      </c>
      <c r="C81" s="10" t="s">
        <v>30</v>
      </c>
      <c r="D81" s="11">
        <v>0.0341904752770406</v>
      </c>
      <c r="E81" s="11">
        <v>0.7186017036437988</v>
      </c>
      <c r="F81" s="11">
        <v>0.6985806226730347</v>
      </c>
      <c r="G81" s="11">
        <v>0.7084497213363647</v>
      </c>
      <c r="H81" s="11">
        <v>0.39972432804962094</v>
      </c>
      <c r="I81" s="11">
        <v>0.10213940648723258</v>
      </c>
      <c r="J81" s="11">
        <v>0.18056512749827705</v>
      </c>
      <c r="K81" s="11">
        <v>0.22742935906271536</v>
      </c>
      <c r="L81" s="11">
        <v>0.0</v>
      </c>
      <c r="M81" s="11">
        <v>0.0</v>
      </c>
      <c r="N81" s="11">
        <v>0.7693519592285156</v>
      </c>
      <c r="O81" s="11">
        <v>0.48749488592147827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</row>
    <row r="82" ht="15.75" customHeight="1">
      <c r="A82" s="7" t="s">
        <v>57</v>
      </c>
      <c r="B82" s="7" t="s">
        <v>16</v>
      </c>
      <c r="C82" s="7" t="s">
        <v>30</v>
      </c>
      <c r="D82" s="8">
        <v>0.05742840057512985</v>
      </c>
      <c r="E82" s="8">
        <v>0.7599655389785767</v>
      </c>
      <c r="F82" s="8">
        <v>0.7415562272071838</v>
      </c>
      <c r="G82" s="8">
        <v>0.750648021697998</v>
      </c>
      <c r="H82" s="8">
        <v>0.4638511095204008</v>
      </c>
      <c r="I82" s="8">
        <v>0.12903225806451613</v>
      </c>
      <c r="J82" s="8">
        <v>0.1875447387258411</v>
      </c>
      <c r="K82" s="8">
        <v>0.2662848962061561</v>
      </c>
      <c r="L82" s="8">
        <v>0.0</v>
      </c>
      <c r="M82" s="8">
        <v>0.0</v>
      </c>
      <c r="N82" s="8">
        <v>0.7693519592285156</v>
      </c>
      <c r="O82" s="8">
        <v>0.7693519592285156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</row>
    <row r="83" ht="15.75" customHeight="1">
      <c r="A83" s="10" t="s">
        <v>58</v>
      </c>
      <c r="B83" s="10" t="s">
        <v>16</v>
      </c>
      <c r="C83" s="10" t="s">
        <v>30</v>
      </c>
      <c r="D83" s="11">
        <v>0.05825608684513655</v>
      </c>
      <c r="E83" s="11">
        <v>0.7358219027519226</v>
      </c>
      <c r="F83" s="11">
        <v>0.7272068858146667</v>
      </c>
      <c r="G83" s="11">
        <v>0.7314890027046204</v>
      </c>
      <c r="H83" s="11">
        <v>0.45597484276729566</v>
      </c>
      <c r="I83" s="11">
        <v>0.12440944881889762</v>
      </c>
      <c r="J83" s="11">
        <v>0.190251572327044</v>
      </c>
      <c r="K83" s="11">
        <v>0.25157232704402516</v>
      </c>
      <c r="L83" s="11">
        <v>0.0</v>
      </c>
      <c r="M83" s="11">
        <v>0.0</v>
      </c>
      <c r="N83" s="11">
        <v>0.7693519592285156</v>
      </c>
      <c r="O83" s="11">
        <v>0.7693519592285156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</row>
    <row r="84" ht="15.75" customHeight="1">
      <c r="A84" s="7" t="s">
        <v>59</v>
      </c>
      <c r="B84" s="7" t="s">
        <v>16</v>
      </c>
      <c r="C84" s="7" t="s">
        <v>30</v>
      </c>
      <c r="D84" s="8">
        <v>0.07628443956369929</v>
      </c>
      <c r="E84" s="8">
        <v>0.7468957901000977</v>
      </c>
      <c r="F84" s="8">
        <v>0.7260987758636475</v>
      </c>
      <c r="G84" s="8">
        <v>0.7363504767417908</v>
      </c>
      <c r="H84" s="8">
        <v>0.4722222222222222</v>
      </c>
      <c r="I84" s="8">
        <v>0.15220949263502453</v>
      </c>
      <c r="J84" s="8">
        <v>0.19934640522875816</v>
      </c>
      <c r="K84" s="8">
        <v>0.2761437908496732</v>
      </c>
      <c r="L84" s="8">
        <v>0.0</v>
      </c>
      <c r="M84" s="8">
        <v>0.0</v>
      </c>
      <c r="N84" s="8">
        <v>0.7693519592285156</v>
      </c>
      <c r="O84" s="8">
        <v>0.7693519592285156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</row>
    <row r="85" ht="15.75" customHeight="1">
      <c r="A85" s="10" t="s">
        <v>60</v>
      </c>
      <c r="B85" s="10" t="s">
        <v>16</v>
      </c>
      <c r="C85" s="10" t="s">
        <v>30</v>
      </c>
      <c r="D85" s="11">
        <v>0.049858210732987546</v>
      </c>
      <c r="E85" s="11">
        <v>0.747841477394104</v>
      </c>
      <c r="F85" s="11">
        <v>0.7211123704910278</v>
      </c>
      <c r="G85" s="11">
        <v>0.7342337369918823</v>
      </c>
      <c r="H85" s="11">
        <v>0.4996191926884996</v>
      </c>
      <c r="I85" s="11">
        <v>0.14492753623188406</v>
      </c>
      <c r="J85" s="11">
        <v>0.194973343488195</v>
      </c>
      <c r="K85" s="11">
        <v>0.27265803503427266</v>
      </c>
      <c r="L85" s="11">
        <v>0.0</v>
      </c>
      <c r="M85" s="11">
        <v>0.0</v>
      </c>
      <c r="N85" s="11">
        <v>0.7693519592285156</v>
      </c>
      <c r="O85" s="11">
        <v>0.7693519592285156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</row>
    <row r="86" ht="15.75" customHeight="1">
      <c r="A86" s="7" t="s">
        <v>15</v>
      </c>
      <c r="B86" s="7" t="s">
        <v>16</v>
      </c>
      <c r="C86" s="7" t="s">
        <v>31</v>
      </c>
      <c r="D86" s="8">
        <v>0.05260459007909754</v>
      </c>
      <c r="E86" s="8">
        <v>0.7479007840156555</v>
      </c>
      <c r="F86" s="8">
        <v>0.7263549566268921</v>
      </c>
      <c r="G86" s="8">
        <v>0.7369704246520996</v>
      </c>
      <c r="H86" s="8">
        <v>0.41397849462365593</v>
      </c>
      <c r="I86" s="8">
        <v>0.11978465679676985</v>
      </c>
      <c r="J86" s="8">
        <v>0.1814516129032258</v>
      </c>
      <c r="K86" s="8">
        <v>0.23521505376344087</v>
      </c>
      <c r="L86" s="8">
        <v>0.0</v>
      </c>
      <c r="M86" s="8">
        <v>0.0</v>
      </c>
      <c r="N86" s="8">
        <v>0.9999999403953552</v>
      </c>
      <c r="O86" s="8">
        <v>0.8271334767341614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</row>
    <row r="87" ht="15.75" customHeight="1">
      <c r="A87" s="10" t="s">
        <v>56</v>
      </c>
      <c r="B87" s="10" t="s">
        <v>16</v>
      </c>
      <c r="C87" s="10" t="s">
        <v>31</v>
      </c>
      <c r="D87" s="11">
        <v>0.03763141529492282</v>
      </c>
      <c r="E87" s="11">
        <v>0.7247536182403564</v>
      </c>
      <c r="F87" s="11">
        <v>0.6948766708374023</v>
      </c>
      <c r="G87" s="11">
        <v>0.7095007300376892</v>
      </c>
      <c r="H87" s="11">
        <v>0.39193884642112575</v>
      </c>
      <c r="I87" s="11">
        <v>0.10716771050800279</v>
      </c>
      <c r="J87" s="11">
        <v>0.1834607366226546</v>
      </c>
      <c r="K87" s="11">
        <v>0.2237665045170257</v>
      </c>
      <c r="L87" s="11">
        <v>0.0</v>
      </c>
      <c r="M87" s="11">
        <v>0.0</v>
      </c>
      <c r="N87" s="11">
        <v>0.9999999403953552</v>
      </c>
      <c r="O87" s="11">
        <v>0.5545380711555481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</row>
    <row r="88" ht="15.75" customHeight="1">
      <c r="A88" s="7" t="s">
        <v>57</v>
      </c>
      <c r="B88" s="7" t="s">
        <v>16</v>
      </c>
      <c r="C88" s="7" t="s">
        <v>31</v>
      </c>
      <c r="D88" s="8">
        <v>0.06391466027568483</v>
      </c>
      <c r="E88" s="8">
        <v>0.7717890739440918</v>
      </c>
      <c r="F88" s="8">
        <v>0.7314666509628296</v>
      </c>
      <c r="G88" s="8">
        <v>0.7510870099067688</v>
      </c>
      <c r="H88" s="8">
        <v>0.45487364620938625</v>
      </c>
      <c r="I88" s="8">
        <v>0.14027476500361533</v>
      </c>
      <c r="J88" s="8">
        <v>0.21371841155234658</v>
      </c>
      <c r="K88" s="8">
        <v>0.25415162454873647</v>
      </c>
      <c r="L88" s="8">
        <v>0.0</v>
      </c>
      <c r="M88" s="8">
        <v>0.0</v>
      </c>
      <c r="N88" s="8">
        <v>0.9999999403953552</v>
      </c>
      <c r="O88" s="8">
        <v>0.9999999403953552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</row>
    <row r="89" ht="15.75" customHeight="1">
      <c r="A89" s="10" t="s">
        <v>58</v>
      </c>
      <c r="B89" s="10" t="s">
        <v>16</v>
      </c>
      <c r="C89" s="10" t="s">
        <v>31</v>
      </c>
      <c r="D89" s="11">
        <v>0.06355853791508873</v>
      </c>
      <c r="E89" s="11">
        <v>0.7458691000938416</v>
      </c>
      <c r="F89" s="11">
        <v>0.7197973132133484</v>
      </c>
      <c r="G89" s="11">
        <v>0.7326013445854187</v>
      </c>
      <c r="H89" s="11">
        <v>0.426984126984127</v>
      </c>
      <c r="I89" s="11">
        <v>0.12082670906200318</v>
      </c>
      <c r="J89" s="11">
        <v>0.18888888888888888</v>
      </c>
      <c r="K89" s="11">
        <v>0.20634920634920637</v>
      </c>
      <c r="L89" s="11">
        <v>0.0</v>
      </c>
      <c r="M89" s="11">
        <v>0.0</v>
      </c>
      <c r="N89" s="11">
        <v>0.9999999403953552</v>
      </c>
      <c r="O89" s="11">
        <v>0.9999999403953552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</row>
    <row r="90" ht="15.75" customHeight="1">
      <c r="A90" s="7" t="s">
        <v>59</v>
      </c>
      <c r="B90" s="7" t="s">
        <v>16</v>
      </c>
      <c r="C90" s="7" t="s">
        <v>31</v>
      </c>
      <c r="D90" s="8">
        <v>0.07701184290154624</v>
      </c>
      <c r="E90" s="8">
        <v>0.74605393409729</v>
      </c>
      <c r="F90" s="8">
        <v>0.7054548263549805</v>
      </c>
      <c r="G90" s="8">
        <v>0.7251865863800049</v>
      </c>
      <c r="H90" s="8">
        <v>0.4438943894389439</v>
      </c>
      <c r="I90" s="8">
        <v>0.12892561983471074</v>
      </c>
      <c r="J90" s="8">
        <v>0.20132013201320131</v>
      </c>
      <c r="K90" s="8">
        <v>0.2623762376237624</v>
      </c>
      <c r="L90" s="8">
        <v>0.0</v>
      </c>
      <c r="M90" s="8">
        <v>0.0</v>
      </c>
      <c r="N90" s="8">
        <v>0.9999999403953552</v>
      </c>
      <c r="O90" s="8">
        <v>0.9999999403953552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</row>
    <row r="91" ht="15.75" customHeight="1">
      <c r="A91" s="10" t="s">
        <v>60</v>
      </c>
      <c r="B91" s="10" t="s">
        <v>16</v>
      </c>
      <c r="C91" s="10" t="s">
        <v>31</v>
      </c>
      <c r="D91" s="11">
        <v>0.07157389728240596</v>
      </c>
      <c r="E91" s="11">
        <v>0.7561213970184326</v>
      </c>
      <c r="F91" s="11">
        <v>0.7155520915985107</v>
      </c>
      <c r="G91" s="11">
        <v>0.735277533531189</v>
      </c>
      <c r="H91" s="11">
        <v>0.49500384319754037</v>
      </c>
      <c r="I91" s="11">
        <v>0.15858352578906848</v>
      </c>
      <c r="J91" s="11">
        <v>0.21214450422751727</v>
      </c>
      <c r="K91" s="11">
        <v>0.2859338970023059</v>
      </c>
      <c r="L91" s="11">
        <v>0.0</v>
      </c>
      <c r="M91" s="11">
        <v>0.0</v>
      </c>
      <c r="N91" s="11">
        <v>0.9999999403953552</v>
      </c>
      <c r="O91" s="11">
        <v>0.9999999403953552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</row>
    <row r="92" ht="15.75" customHeight="1">
      <c r="A92" s="7" t="s">
        <v>15</v>
      </c>
      <c r="B92" s="7" t="s">
        <v>16</v>
      </c>
      <c r="C92" s="7" t="s">
        <v>32</v>
      </c>
      <c r="D92" s="8">
        <v>0.06213828964392003</v>
      </c>
      <c r="E92" s="8">
        <v>0.7388505339622498</v>
      </c>
      <c r="F92" s="8">
        <v>0.732083797454834</v>
      </c>
      <c r="G92" s="8">
        <v>0.7354515790939331</v>
      </c>
      <c r="H92" s="8">
        <v>0.486119679210364</v>
      </c>
      <c r="I92" s="8">
        <v>0.13094502779493514</v>
      </c>
      <c r="J92" s="8">
        <v>0.19370758790869833</v>
      </c>
      <c r="K92" s="8">
        <v>0.23935842072794572</v>
      </c>
      <c r="L92" s="8">
        <v>0.0</v>
      </c>
      <c r="M92" s="8">
        <v>0.0</v>
      </c>
      <c r="N92" s="8">
        <v>0.9999999403953552</v>
      </c>
      <c r="O92" s="8">
        <v>0.8271334767341614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</row>
    <row r="93" ht="15.75" customHeight="1">
      <c r="A93" s="10" t="s">
        <v>56</v>
      </c>
      <c r="B93" s="10" t="s">
        <v>16</v>
      </c>
      <c r="C93" s="10" t="s">
        <v>32</v>
      </c>
      <c r="D93" s="11">
        <v>0.023412627970701472</v>
      </c>
      <c r="E93" s="11">
        <v>0.7151515483856201</v>
      </c>
      <c r="F93" s="11">
        <v>0.6936314105987549</v>
      </c>
      <c r="G93" s="11">
        <v>0.704227089881897</v>
      </c>
      <c r="H93" s="11">
        <v>0.46055979643765904</v>
      </c>
      <c r="I93" s="11">
        <v>0.10573248407643313</v>
      </c>
      <c r="J93" s="11">
        <v>0.1984732824427481</v>
      </c>
      <c r="K93" s="11">
        <v>0.23536895674300254</v>
      </c>
      <c r="L93" s="11">
        <v>0.0</v>
      </c>
      <c r="M93" s="11">
        <v>0.0</v>
      </c>
      <c r="N93" s="11">
        <v>0.9999999403953552</v>
      </c>
      <c r="O93" s="11">
        <v>0.5545380711555481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</row>
    <row r="94" ht="15.75" customHeight="1">
      <c r="A94" s="7" t="s">
        <v>57</v>
      </c>
      <c r="B94" s="7" t="s">
        <v>16</v>
      </c>
      <c r="C94" s="7" t="s">
        <v>32</v>
      </c>
      <c r="D94" s="8">
        <v>0.07264104421146891</v>
      </c>
      <c r="E94" s="8">
        <v>0.7436800003051758</v>
      </c>
      <c r="F94" s="8">
        <v>0.7297497391700745</v>
      </c>
      <c r="G94" s="8">
        <v>0.7366490364074707</v>
      </c>
      <c r="H94" s="8">
        <v>0.4940711462450593</v>
      </c>
      <c r="I94" s="8">
        <v>0.1345646437994723</v>
      </c>
      <c r="J94" s="8">
        <v>0.20553359683794467</v>
      </c>
      <c r="K94" s="8">
        <v>0.24374176548089593</v>
      </c>
      <c r="L94" s="8">
        <v>0.0</v>
      </c>
      <c r="M94" s="8">
        <v>0.0</v>
      </c>
      <c r="N94" s="8">
        <v>0.9999999403953552</v>
      </c>
      <c r="O94" s="8">
        <v>0.9999999403953552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</row>
    <row r="95" ht="15.75" customHeight="1">
      <c r="A95" s="10" t="s">
        <v>58</v>
      </c>
      <c r="B95" s="10" t="s">
        <v>16</v>
      </c>
      <c r="C95" s="10" t="s">
        <v>32</v>
      </c>
      <c r="D95" s="11">
        <v>0.04073393334332752</v>
      </c>
      <c r="E95" s="11">
        <v>0.7246467471122742</v>
      </c>
      <c r="F95" s="11">
        <v>0.7147942185401917</v>
      </c>
      <c r="G95" s="11">
        <v>0.71968674659729</v>
      </c>
      <c r="H95" s="11">
        <v>0.45369705671213206</v>
      </c>
      <c r="I95" s="11">
        <v>0.10352264557872036</v>
      </c>
      <c r="J95" s="11">
        <v>0.19095477386934673</v>
      </c>
      <c r="K95" s="11">
        <v>0.2613065326633166</v>
      </c>
      <c r="L95" s="11">
        <v>0.0</v>
      </c>
      <c r="M95" s="11">
        <v>0.0</v>
      </c>
      <c r="N95" s="11">
        <v>0.9999999403953552</v>
      </c>
      <c r="O95" s="11">
        <v>0.9999999403953552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</row>
    <row r="96" ht="15.75" customHeight="1">
      <c r="A96" s="7" t="s">
        <v>59</v>
      </c>
      <c r="B96" s="7" t="s">
        <v>16</v>
      </c>
      <c r="C96" s="7" t="s">
        <v>32</v>
      </c>
      <c r="D96" s="8">
        <v>0.06080751726679243</v>
      </c>
      <c r="E96" s="8">
        <v>0.7278763651847839</v>
      </c>
      <c r="F96" s="8">
        <v>0.7148278951644897</v>
      </c>
      <c r="G96" s="8">
        <v>0.7212931513786316</v>
      </c>
      <c r="H96" s="8">
        <v>0.46988847583643123</v>
      </c>
      <c r="I96" s="8">
        <v>0.1325390915860015</v>
      </c>
      <c r="J96" s="8">
        <v>0.2037174721189591</v>
      </c>
      <c r="K96" s="8">
        <v>0.26022304832713755</v>
      </c>
      <c r="L96" s="8">
        <v>0.0</v>
      </c>
      <c r="M96" s="8">
        <v>0.0</v>
      </c>
      <c r="N96" s="8">
        <v>0.9999999403953552</v>
      </c>
      <c r="O96" s="8">
        <v>0.9999999403953552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</row>
    <row r="97" ht="15.75" customHeight="1">
      <c r="A97" s="10" t="s">
        <v>60</v>
      </c>
      <c r="B97" s="10" t="s">
        <v>16</v>
      </c>
      <c r="C97" s="10" t="s">
        <v>32</v>
      </c>
      <c r="D97" s="11">
        <v>0.06888500230051174</v>
      </c>
      <c r="E97" s="11">
        <v>0.7309181094169617</v>
      </c>
      <c r="F97" s="11">
        <v>0.7128132581710815</v>
      </c>
      <c r="G97" s="11">
        <v>0.7217522263526917</v>
      </c>
      <c r="H97" s="11">
        <v>0.5285913528591353</v>
      </c>
      <c r="I97" s="11">
        <v>0.15223463687150837</v>
      </c>
      <c r="J97" s="11">
        <v>0.199442119944212</v>
      </c>
      <c r="K97" s="11">
        <v>0.27475592747559274</v>
      </c>
      <c r="L97" s="11">
        <v>0.0</v>
      </c>
      <c r="M97" s="11">
        <v>0.0</v>
      </c>
      <c r="N97" s="11">
        <v>0.9999999403953552</v>
      </c>
      <c r="O97" s="11">
        <v>0.9999999403953552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</row>
    <row r="98" ht="15.75" customHeight="1">
      <c r="A98" s="7" t="s">
        <v>15</v>
      </c>
      <c r="B98" s="7" t="s">
        <v>16</v>
      </c>
      <c r="C98" s="7" t="s">
        <v>33</v>
      </c>
      <c r="D98" s="8">
        <v>0.055553639005570345</v>
      </c>
      <c r="E98" s="8">
        <v>0.7388505339622498</v>
      </c>
      <c r="F98" s="8">
        <v>0.732083797454834</v>
      </c>
      <c r="G98" s="8">
        <v>0.7354515790939331</v>
      </c>
      <c r="H98" s="8">
        <v>0.4736164736164736</v>
      </c>
      <c r="I98" s="8">
        <v>0.1327319587628866</v>
      </c>
      <c r="J98" s="8">
        <v>0.18532818532818532</v>
      </c>
      <c r="K98" s="8">
        <v>0.23294723294723294</v>
      </c>
      <c r="L98" s="8">
        <v>0.0</v>
      </c>
      <c r="M98" s="8">
        <v>0.0</v>
      </c>
      <c r="N98" s="8">
        <v>0.9999999403953552</v>
      </c>
      <c r="O98" s="8">
        <v>0.8271334767341614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</row>
    <row r="99" ht="15.75" customHeight="1">
      <c r="A99" s="10" t="s">
        <v>56</v>
      </c>
      <c r="B99" s="10" t="s">
        <v>16</v>
      </c>
      <c r="C99" s="10" t="s">
        <v>33</v>
      </c>
      <c r="D99" s="11">
        <v>0.021649836105082264</v>
      </c>
      <c r="E99" s="11">
        <v>0.7151515483856201</v>
      </c>
      <c r="F99" s="11">
        <v>0.6936314105987549</v>
      </c>
      <c r="G99" s="11">
        <v>0.704227089881897</v>
      </c>
      <c r="H99" s="11">
        <v>0.4504983388704319</v>
      </c>
      <c r="I99" s="11">
        <v>0.10645375914836994</v>
      </c>
      <c r="J99" s="11">
        <v>0.20066445182724252</v>
      </c>
      <c r="K99" s="11">
        <v>0.2272425249169435</v>
      </c>
      <c r="L99" s="11">
        <v>0.0</v>
      </c>
      <c r="M99" s="11">
        <v>0.0</v>
      </c>
      <c r="N99" s="11">
        <v>0.9999999403953552</v>
      </c>
      <c r="O99" s="11">
        <v>0.5545380711555481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</row>
    <row r="100" ht="15.75" customHeight="1">
      <c r="A100" s="7" t="s">
        <v>57</v>
      </c>
      <c r="B100" s="7" t="s">
        <v>16</v>
      </c>
      <c r="C100" s="7" t="s">
        <v>33</v>
      </c>
      <c r="D100" s="8">
        <v>0.05415577486739405</v>
      </c>
      <c r="E100" s="8">
        <v>0.7436800003051758</v>
      </c>
      <c r="F100" s="8">
        <v>0.7297497391700745</v>
      </c>
      <c r="G100" s="8">
        <v>0.7366490364074707</v>
      </c>
      <c r="H100" s="8">
        <v>0.4838042729152309</v>
      </c>
      <c r="I100" s="8">
        <v>0.12698412698412698</v>
      </c>
      <c r="J100" s="8">
        <v>0.19159200551343902</v>
      </c>
      <c r="K100" s="8">
        <v>0.23018607856650586</v>
      </c>
      <c r="L100" s="8">
        <v>0.0</v>
      </c>
      <c r="M100" s="8">
        <v>0.0</v>
      </c>
      <c r="N100" s="8">
        <v>0.9999999403953552</v>
      </c>
      <c r="O100" s="8">
        <v>0.9999999403953552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</row>
    <row r="101" ht="15.75" customHeight="1">
      <c r="A101" s="10" t="s">
        <v>58</v>
      </c>
      <c r="B101" s="10" t="s">
        <v>16</v>
      </c>
      <c r="C101" s="10" t="s">
        <v>33</v>
      </c>
      <c r="D101" s="11">
        <v>0.039075843916222555</v>
      </c>
      <c r="E101" s="11">
        <v>0.7246467471122742</v>
      </c>
      <c r="F101" s="11">
        <v>0.7147942185401917</v>
      </c>
      <c r="G101" s="11">
        <v>0.71968674659729</v>
      </c>
      <c r="H101" s="11">
        <v>0.45248868778280543</v>
      </c>
      <c r="I101" s="11">
        <v>0.10574018126888217</v>
      </c>
      <c r="J101" s="11">
        <v>0.1885369532428356</v>
      </c>
      <c r="K101" s="11">
        <v>0.25641025641025644</v>
      </c>
      <c r="L101" s="11">
        <v>0.0</v>
      </c>
      <c r="M101" s="11">
        <v>0.0</v>
      </c>
      <c r="N101" s="11">
        <v>0.9999999403953552</v>
      </c>
      <c r="O101" s="11">
        <v>0.9999999403953552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</row>
    <row r="102" ht="15.75" customHeight="1">
      <c r="A102" s="7" t="s">
        <v>59</v>
      </c>
      <c r="B102" s="7" t="s">
        <v>16</v>
      </c>
      <c r="C102" s="7" t="s">
        <v>33</v>
      </c>
      <c r="D102" s="8">
        <v>0.04969625150478928</v>
      </c>
      <c r="E102" s="8">
        <v>0.7278763651847839</v>
      </c>
      <c r="F102" s="8">
        <v>0.7148278951644897</v>
      </c>
      <c r="G102" s="8">
        <v>0.7212931513786316</v>
      </c>
      <c r="H102" s="8">
        <v>0.47730829420970267</v>
      </c>
      <c r="I102" s="8">
        <v>0.12695924764890285</v>
      </c>
      <c r="J102" s="8">
        <v>0.1971830985915493</v>
      </c>
      <c r="K102" s="8">
        <v>0.24569640062597808</v>
      </c>
      <c r="L102" s="8">
        <v>0.0</v>
      </c>
      <c r="M102" s="8">
        <v>0.0</v>
      </c>
      <c r="N102" s="8">
        <v>0.9999999403953552</v>
      </c>
      <c r="O102" s="8">
        <v>0.9999999403953552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</row>
    <row r="103" ht="15.75" customHeight="1">
      <c r="A103" s="10" t="s">
        <v>60</v>
      </c>
      <c r="B103" s="10" t="s">
        <v>16</v>
      </c>
      <c r="C103" s="10" t="s">
        <v>33</v>
      </c>
      <c r="D103" s="11">
        <v>0.066236305038926</v>
      </c>
      <c r="E103" s="11">
        <v>0.7309181094169617</v>
      </c>
      <c r="F103" s="11">
        <v>0.7128132581710815</v>
      </c>
      <c r="G103" s="11">
        <v>0.7217522263526917</v>
      </c>
      <c r="H103" s="11">
        <v>0.5208485735186539</v>
      </c>
      <c r="I103" s="11">
        <v>0.1553113553113553</v>
      </c>
      <c r="J103" s="11">
        <v>0.1960497439648866</v>
      </c>
      <c r="K103" s="11">
        <v>0.26627651792245793</v>
      </c>
      <c r="L103" s="11">
        <v>0.0</v>
      </c>
      <c r="M103" s="11">
        <v>0.0</v>
      </c>
      <c r="N103" s="11">
        <v>0.9999999403953552</v>
      </c>
      <c r="O103" s="11">
        <v>0.9999999403953552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</row>
    <row r="104" ht="15.75" customHeight="1">
      <c r="A104" s="7" t="s">
        <v>15</v>
      </c>
      <c r="B104" s="7" t="s">
        <v>16</v>
      </c>
      <c r="C104" s="7" t="s">
        <v>34</v>
      </c>
      <c r="D104" s="8">
        <v>0.0453730884160707</v>
      </c>
      <c r="E104" s="8">
        <v>0.7425742149353027</v>
      </c>
      <c r="F104" s="8">
        <v>0.7351837158203125</v>
      </c>
      <c r="G104" s="8">
        <v>0.7388604879379272</v>
      </c>
      <c r="H104" s="8">
        <v>0.464524765729585</v>
      </c>
      <c r="I104" s="8">
        <v>0.13538873994638068</v>
      </c>
      <c r="J104" s="8">
        <v>0.1834002677376171</v>
      </c>
      <c r="K104" s="8">
        <v>0.2463186077643909</v>
      </c>
      <c r="L104" s="8">
        <v>0.0</v>
      </c>
      <c r="M104" s="8">
        <v>0.0</v>
      </c>
      <c r="N104" s="8">
        <v>0.9999999403953552</v>
      </c>
      <c r="O104" s="8">
        <v>0.8271334767341614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</row>
    <row r="105" ht="15.75" customHeight="1">
      <c r="A105" s="10" t="s">
        <v>56</v>
      </c>
      <c r="B105" s="10" t="s">
        <v>16</v>
      </c>
      <c r="C105" s="10" t="s">
        <v>34</v>
      </c>
      <c r="D105" s="11">
        <v>0.018599705620876286</v>
      </c>
      <c r="E105" s="11">
        <v>0.7199512720108032</v>
      </c>
      <c r="F105" s="11">
        <v>0.6979568600654602</v>
      </c>
      <c r="G105" s="11">
        <v>0.7087834477424622</v>
      </c>
      <c r="H105" s="11">
        <v>0.4373702422145329</v>
      </c>
      <c r="I105" s="11">
        <v>0.10672210672210673</v>
      </c>
      <c r="J105" s="11">
        <v>0.19515570934256057</v>
      </c>
      <c r="K105" s="11">
        <v>0.23667820069204154</v>
      </c>
      <c r="L105" s="11">
        <v>0.0</v>
      </c>
      <c r="M105" s="11">
        <v>0.0</v>
      </c>
      <c r="N105" s="11">
        <v>0.9999999403953552</v>
      </c>
      <c r="O105" s="11">
        <v>0.5545380711555481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</row>
    <row r="106" ht="15.75" customHeight="1">
      <c r="A106" s="7" t="s">
        <v>57</v>
      </c>
      <c r="B106" s="7" t="s">
        <v>16</v>
      </c>
      <c r="C106" s="7" t="s">
        <v>34</v>
      </c>
      <c r="D106" s="8">
        <v>0.04804373164256967</v>
      </c>
      <c r="E106" s="8">
        <v>0.7445049285888672</v>
      </c>
      <c r="F106" s="8">
        <v>0.7309196591377258</v>
      </c>
      <c r="G106" s="8">
        <v>0.7376497983932495</v>
      </c>
      <c r="H106" s="8">
        <v>0.4701653486700216</v>
      </c>
      <c r="I106" s="8">
        <v>0.12958963282937366</v>
      </c>
      <c r="J106" s="8">
        <v>0.18260244428468728</v>
      </c>
      <c r="K106" s="8">
        <v>0.23005032350826746</v>
      </c>
      <c r="L106" s="8">
        <v>0.0</v>
      </c>
      <c r="M106" s="8">
        <v>0.0</v>
      </c>
      <c r="N106" s="8">
        <v>0.9999999403953552</v>
      </c>
      <c r="O106" s="8">
        <v>0.9999999403953552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</row>
    <row r="107" ht="15.75" customHeight="1">
      <c r="A107" s="10" t="s">
        <v>58</v>
      </c>
      <c r="B107" s="10" t="s">
        <v>16</v>
      </c>
      <c r="C107" s="10" t="s">
        <v>34</v>
      </c>
      <c r="D107" s="11">
        <v>0.03254742230728028</v>
      </c>
      <c r="E107" s="11">
        <v>0.7278452515602112</v>
      </c>
      <c r="F107" s="11">
        <v>0.7156917452812195</v>
      </c>
      <c r="G107" s="11">
        <v>0.7217172980308533</v>
      </c>
      <c r="H107" s="11">
        <v>0.44075829383886256</v>
      </c>
      <c r="I107" s="11">
        <v>0.10126582278481013</v>
      </c>
      <c r="J107" s="11">
        <v>0.1879936808846761</v>
      </c>
      <c r="K107" s="11">
        <v>0.24328593996840442</v>
      </c>
      <c r="L107" s="11">
        <v>0.0</v>
      </c>
      <c r="M107" s="11">
        <v>0.0</v>
      </c>
      <c r="N107" s="11">
        <v>0.9999999403953552</v>
      </c>
      <c r="O107" s="11">
        <v>0.9999999403953552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</row>
    <row r="108" ht="15.75" customHeight="1">
      <c r="A108" s="7" t="s">
        <v>59</v>
      </c>
      <c r="B108" s="7" t="s">
        <v>16</v>
      </c>
      <c r="C108" s="7" t="s">
        <v>34</v>
      </c>
      <c r="D108" s="8">
        <v>0.04569050056931955</v>
      </c>
      <c r="E108" s="8">
        <v>0.7293891906738281</v>
      </c>
      <c r="F108" s="8">
        <v>0.7193130850791931</v>
      </c>
      <c r="G108" s="8">
        <v>0.7243161201477051</v>
      </c>
      <c r="H108" s="8">
        <v>0.4745484400656814</v>
      </c>
      <c r="I108" s="8">
        <v>0.12171052631578948</v>
      </c>
      <c r="J108" s="8">
        <v>0.19211822660098524</v>
      </c>
      <c r="K108" s="8">
        <v>0.27257799671592775</v>
      </c>
      <c r="L108" s="8">
        <v>0.0</v>
      </c>
      <c r="M108" s="8">
        <v>0.0</v>
      </c>
      <c r="N108" s="8">
        <v>0.9999999403953552</v>
      </c>
      <c r="O108" s="8">
        <v>0.9999999403953552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</row>
    <row r="109" ht="15.75" customHeight="1">
      <c r="A109" s="10" t="s">
        <v>60</v>
      </c>
      <c r="B109" s="10" t="s">
        <v>16</v>
      </c>
      <c r="C109" s="10" t="s">
        <v>34</v>
      </c>
      <c r="D109" s="11">
        <v>0.053435262007031914</v>
      </c>
      <c r="E109" s="11">
        <v>0.7333757281303406</v>
      </c>
      <c r="F109" s="11">
        <v>0.7182697057723999</v>
      </c>
      <c r="G109" s="11">
        <v>0.7257441878318787</v>
      </c>
      <c r="H109" s="11">
        <v>0.5172149961744452</v>
      </c>
      <c r="I109" s="11">
        <v>0.15172413793103448</v>
      </c>
      <c r="J109" s="11">
        <v>0.1928079571537873</v>
      </c>
      <c r="K109" s="11">
        <v>0.2662586074980872</v>
      </c>
      <c r="L109" s="11">
        <v>0.0</v>
      </c>
      <c r="M109" s="11">
        <v>0.0</v>
      </c>
      <c r="N109" s="11">
        <v>0.9999999403953552</v>
      </c>
      <c r="O109" s="11">
        <v>0.9999999403953552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</row>
    <row r="110" ht="15.75" customHeight="1">
      <c r="A110" s="7" t="s">
        <v>15</v>
      </c>
      <c r="B110" s="7" t="s">
        <v>16</v>
      </c>
      <c r="C110" s="7" t="s">
        <v>35</v>
      </c>
      <c r="D110" s="8">
        <v>0.029430397239446494</v>
      </c>
      <c r="E110" s="8">
        <v>0.7484778165817261</v>
      </c>
      <c r="F110" s="8">
        <v>0.7370939254760742</v>
      </c>
      <c r="G110" s="8">
        <v>0.7427422404289246</v>
      </c>
      <c r="H110" s="8">
        <v>0.3836206896551725</v>
      </c>
      <c r="I110" s="8">
        <v>0.12805755395683452</v>
      </c>
      <c r="J110" s="8">
        <v>0.16954022988505746</v>
      </c>
      <c r="K110" s="8">
        <v>0.2385057471264368</v>
      </c>
      <c r="L110" s="8">
        <v>0.0</v>
      </c>
      <c r="M110" s="8">
        <v>0.0</v>
      </c>
      <c r="N110" s="8">
        <v>0.9999999403953552</v>
      </c>
      <c r="O110" s="8">
        <v>0.8271334767341614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</row>
    <row r="111" ht="15.75" customHeight="1">
      <c r="A111" s="10" t="s">
        <v>56</v>
      </c>
      <c r="B111" s="10" t="s">
        <v>16</v>
      </c>
      <c r="C111" s="10" t="s">
        <v>35</v>
      </c>
      <c r="D111" s="11">
        <v>0.018045276115735802</v>
      </c>
      <c r="E111" s="11">
        <v>0.7162473201751709</v>
      </c>
      <c r="F111" s="11">
        <v>0.6916202902793884</v>
      </c>
      <c r="G111" s="11">
        <v>0.7037184238433838</v>
      </c>
      <c r="H111" s="11">
        <v>0.37230081906180196</v>
      </c>
      <c r="I111" s="11">
        <v>0.09545115585384042</v>
      </c>
      <c r="J111" s="11">
        <v>0.16232315711094564</v>
      </c>
      <c r="K111" s="11">
        <v>0.2144452717795979</v>
      </c>
      <c r="L111" s="11">
        <v>0.0</v>
      </c>
      <c r="M111" s="11">
        <v>0.0</v>
      </c>
      <c r="N111" s="11">
        <v>0.9999999403953552</v>
      </c>
      <c r="O111" s="11">
        <v>0.5545380711555481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</row>
    <row r="112" ht="15.75" customHeight="1">
      <c r="A112" s="7" t="s">
        <v>57</v>
      </c>
      <c r="B112" s="7" t="s">
        <v>16</v>
      </c>
      <c r="C112" s="7" t="s">
        <v>35</v>
      </c>
      <c r="D112" s="8">
        <v>0.048102711590344</v>
      </c>
      <c r="E112" s="8">
        <v>0.7525497674942017</v>
      </c>
      <c r="F112" s="8">
        <v>0.73235023021698</v>
      </c>
      <c r="G112" s="8">
        <v>0.7423126101493835</v>
      </c>
      <c r="H112" s="8">
        <v>0.4328937160589605</v>
      </c>
      <c r="I112" s="8">
        <v>0.13986013986013984</v>
      </c>
      <c r="J112" s="8">
        <v>0.18463925523661756</v>
      </c>
      <c r="K112" s="8">
        <v>0.2451512800620636</v>
      </c>
      <c r="L112" s="8">
        <v>0.0</v>
      </c>
      <c r="M112" s="8">
        <v>0.0</v>
      </c>
      <c r="N112" s="8">
        <v>0.9999999403953552</v>
      </c>
      <c r="O112" s="8">
        <v>0.9999999403953552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</row>
    <row r="113" ht="15.75" customHeight="1">
      <c r="A113" s="10" t="s">
        <v>58</v>
      </c>
      <c r="B113" s="10" t="s">
        <v>16</v>
      </c>
      <c r="C113" s="10" t="s">
        <v>35</v>
      </c>
      <c r="D113" s="11">
        <v>0.025680666390988174</v>
      </c>
      <c r="E113" s="11">
        <v>0.7410222887992859</v>
      </c>
      <c r="F113" s="11">
        <v>0.728034496307373</v>
      </c>
      <c r="G113" s="11">
        <v>0.7344709634780884</v>
      </c>
      <c r="H113" s="11">
        <v>0.43298969072164945</v>
      </c>
      <c r="I113" s="11">
        <v>0.1135972461273666</v>
      </c>
      <c r="J113" s="11">
        <v>0.17010309278350516</v>
      </c>
      <c r="K113" s="11">
        <v>0.24054982817869414</v>
      </c>
      <c r="L113" s="11">
        <v>0.0</v>
      </c>
      <c r="M113" s="11">
        <v>0.0</v>
      </c>
      <c r="N113" s="11">
        <v>0.9999999403953552</v>
      </c>
      <c r="O113" s="11">
        <v>0.9999999403953552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</row>
    <row r="114" ht="15.75" customHeight="1">
      <c r="A114" s="7" t="s">
        <v>59</v>
      </c>
      <c r="B114" s="7" t="s">
        <v>16</v>
      </c>
      <c r="C114" s="7" t="s">
        <v>35</v>
      </c>
      <c r="D114" s="8">
        <v>0.06466914459398332</v>
      </c>
      <c r="E114" s="8">
        <v>0.7527706623077393</v>
      </c>
      <c r="F114" s="8">
        <v>0.7340310215950012</v>
      </c>
      <c r="G114" s="8">
        <v>0.7432827353477478</v>
      </c>
      <c r="H114" s="8">
        <v>0.47491039426523296</v>
      </c>
      <c r="I114" s="8">
        <v>0.13644524236983843</v>
      </c>
      <c r="J114" s="8">
        <v>0.18996415770609318</v>
      </c>
      <c r="K114" s="8">
        <v>0.2831541218637993</v>
      </c>
      <c r="L114" s="8">
        <v>0.0</v>
      </c>
      <c r="M114" s="8">
        <v>0.0</v>
      </c>
      <c r="N114" s="8">
        <v>0.9999999403953552</v>
      </c>
      <c r="O114" s="8">
        <v>0.9999999403953552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</row>
    <row r="115" ht="15.75" customHeight="1">
      <c r="A115" s="10" t="s">
        <v>60</v>
      </c>
      <c r="B115" s="10" t="s">
        <v>16</v>
      </c>
      <c r="C115" s="10" t="s">
        <v>35</v>
      </c>
      <c r="D115" s="11">
        <v>0.034403920173584554</v>
      </c>
      <c r="E115" s="11">
        <v>0.7536808252334595</v>
      </c>
      <c r="F115" s="11">
        <v>0.722561776638031</v>
      </c>
      <c r="G115" s="11">
        <v>0.7377933263778687</v>
      </c>
      <c r="H115" s="11">
        <v>0.45145228215767635</v>
      </c>
      <c r="I115" s="11">
        <v>0.1313383208645054</v>
      </c>
      <c r="J115" s="11">
        <v>0.17925311203319502</v>
      </c>
      <c r="K115" s="11">
        <v>0.25062240663900415</v>
      </c>
      <c r="L115" s="11">
        <v>0.0</v>
      </c>
      <c r="M115" s="11">
        <v>0.0</v>
      </c>
      <c r="N115" s="11">
        <v>0.9999999403953552</v>
      </c>
      <c r="O115" s="11">
        <v>0.9999999403953552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</row>
    <row r="116" ht="15.75" customHeight="1">
      <c r="A116" s="7" t="s">
        <v>15</v>
      </c>
      <c r="B116" s="7" t="s">
        <v>16</v>
      </c>
      <c r="C116" s="7" t="s">
        <v>36</v>
      </c>
      <c r="D116" s="8">
        <v>0.04336172866521093</v>
      </c>
      <c r="E116" s="8">
        <v>0.7446160316467285</v>
      </c>
      <c r="F116" s="8">
        <v>0.7370531558990479</v>
      </c>
      <c r="G116" s="8">
        <v>0.740815281867981</v>
      </c>
      <c r="H116" s="8">
        <v>0.40437158469945356</v>
      </c>
      <c r="I116" s="8">
        <v>0.12585499316005472</v>
      </c>
      <c r="J116" s="8">
        <v>0.18032786885245902</v>
      </c>
      <c r="K116" s="8">
        <v>0.25136612021857924</v>
      </c>
      <c r="L116" s="8">
        <v>0.0</v>
      </c>
      <c r="M116" s="8">
        <v>0.0</v>
      </c>
      <c r="N116" s="8">
        <v>0.9999999403953552</v>
      </c>
      <c r="O116" s="8">
        <v>0.8271334767341614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</row>
    <row r="117" ht="15.75" customHeight="1">
      <c r="A117" s="10" t="s">
        <v>56</v>
      </c>
      <c r="B117" s="10" t="s">
        <v>16</v>
      </c>
      <c r="C117" s="10" t="s">
        <v>36</v>
      </c>
      <c r="D117" s="11">
        <v>0.040168804612485134</v>
      </c>
      <c r="E117" s="11">
        <v>0.7327108383178711</v>
      </c>
      <c r="F117" s="11">
        <v>0.7071280479431152</v>
      </c>
      <c r="G117" s="11">
        <v>0.7196921706199646</v>
      </c>
      <c r="H117" s="11">
        <v>0.3985865724381626</v>
      </c>
      <c r="I117" s="11">
        <v>0.11606510969568296</v>
      </c>
      <c r="J117" s="11">
        <v>0.18091872791519434</v>
      </c>
      <c r="K117" s="11">
        <v>0.23321554770318023</v>
      </c>
      <c r="L117" s="11">
        <v>0.0</v>
      </c>
      <c r="M117" s="11">
        <v>0.0</v>
      </c>
      <c r="N117" s="11">
        <v>0.9999999403953552</v>
      </c>
      <c r="O117" s="11">
        <v>0.5545380711555481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</row>
    <row r="118" ht="15.75" customHeight="1">
      <c r="A118" s="7" t="s">
        <v>57</v>
      </c>
      <c r="B118" s="7" t="s">
        <v>16</v>
      </c>
      <c r="C118" s="7" t="s">
        <v>36</v>
      </c>
      <c r="D118" s="8">
        <v>0.053517184781281625</v>
      </c>
      <c r="E118" s="8">
        <v>0.7533427476882935</v>
      </c>
      <c r="F118" s="8">
        <v>0.7369365692138672</v>
      </c>
      <c r="G118" s="8">
        <v>0.7450493574142456</v>
      </c>
      <c r="H118" s="8">
        <v>0.45260837619397504</v>
      </c>
      <c r="I118" s="8">
        <v>0.14422369389256806</v>
      </c>
      <c r="J118" s="8">
        <v>0.18368846436443792</v>
      </c>
      <c r="K118" s="8">
        <v>0.25716385011021303</v>
      </c>
      <c r="L118" s="8">
        <v>0.0</v>
      </c>
      <c r="M118" s="8">
        <v>0.0</v>
      </c>
      <c r="N118" s="8">
        <v>0.9999999403953552</v>
      </c>
      <c r="O118" s="8">
        <v>0.9999999403953552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</row>
    <row r="119" ht="15.75" customHeight="1">
      <c r="A119" s="10" t="s">
        <v>58</v>
      </c>
      <c r="B119" s="10" t="s">
        <v>16</v>
      </c>
      <c r="C119" s="10" t="s">
        <v>36</v>
      </c>
      <c r="D119" s="11">
        <v>0.0339756262826532</v>
      </c>
      <c r="E119" s="11">
        <v>0.7435289621353149</v>
      </c>
      <c r="F119" s="11">
        <v>0.7317150831222534</v>
      </c>
      <c r="G119" s="11">
        <v>0.7375746965408325</v>
      </c>
      <c r="H119" s="11">
        <v>0.4288025889967638</v>
      </c>
      <c r="I119" s="11">
        <v>0.11021069692058347</v>
      </c>
      <c r="J119" s="11">
        <v>0.18446601941747573</v>
      </c>
      <c r="K119" s="11">
        <v>0.2313915857605178</v>
      </c>
      <c r="L119" s="11">
        <v>0.0</v>
      </c>
      <c r="M119" s="11">
        <v>0.0</v>
      </c>
      <c r="N119" s="11">
        <v>0.9999999403953552</v>
      </c>
      <c r="O119" s="11">
        <v>0.9999999403953552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</row>
    <row r="120" ht="15.75" customHeight="1">
      <c r="A120" s="7" t="s">
        <v>59</v>
      </c>
      <c r="B120" s="7" t="s">
        <v>16</v>
      </c>
      <c r="C120" s="7" t="s">
        <v>36</v>
      </c>
      <c r="D120" s="8">
        <v>0.06893928875892134</v>
      </c>
      <c r="E120" s="8">
        <v>0.7467936873435974</v>
      </c>
      <c r="F120" s="8">
        <v>0.7264002561569214</v>
      </c>
      <c r="G120" s="8">
        <v>0.7364558577537537</v>
      </c>
      <c r="H120" s="8">
        <v>0.4730639730639731</v>
      </c>
      <c r="I120" s="8">
        <v>0.12141652613827994</v>
      </c>
      <c r="J120" s="8">
        <v>0.18518518518518517</v>
      </c>
      <c r="K120" s="8">
        <v>0.2727272727272727</v>
      </c>
      <c r="L120" s="8">
        <v>0.0</v>
      </c>
      <c r="M120" s="8">
        <v>0.0</v>
      </c>
      <c r="N120" s="8">
        <v>0.9999999403953552</v>
      </c>
      <c r="O120" s="8">
        <v>0.9999999403953552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</row>
    <row r="121" ht="15.75" customHeight="1">
      <c r="A121" s="10" t="s">
        <v>60</v>
      </c>
      <c r="B121" s="10" t="s">
        <v>16</v>
      </c>
      <c r="C121" s="10" t="s">
        <v>36</v>
      </c>
      <c r="D121" s="11">
        <v>0.04695004600859964</v>
      </c>
      <c r="E121" s="11">
        <v>0.7452321648597717</v>
      </c>
      <c r="F121" s="11">
        <v>0.725504457950592</v>
      </c>
      <c r="G121" s="11">
        <v>0.7352359890937805</v>
      </c>
      <c r="H121" s="11">
        <v>0.4839467501957713</v>
      </c>
      <c r="I121" s="11">
        <v>0.14901960784313725</v>
      </c>
      <c r="J121" s="11">
        <v>0.1816758026624902</v>
      </c>
      <c r="K121" s="11">
        <v>0.27564604541895066</v>
      </c>
      <c r="L121" s="11">
        <v>0.0</v>
      </c>
      <c r="M121" s="11">
        <v>0.0</v>
      </c>
      <c r="N121" s="11">
        <v>0.9999999403953552</v>
      </c>
      <c r="O121" s="11">
        <v>0.9999999403953552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</row>
    <row r="122" ht="15.75" customHeight="1">
      <c r="A122" s="7" t="s">
        <v>15</v>
      </c>
      <c r="B122" s="7" t="s">
        <v>16</v>
      </c>
      <c r="C122" s="7" t="s">
        <v>37</v>
      </c>
      <c r="D122" s="8">
        <v>0.07048777766297373</v>
      </c>
      <c r="E122" s="8">
        <v>0.7639557123184204</v>
      </c>
      <c r="F122" s="8">
        <v>0.743821918964386</v>
      </c>
      <c r="G122" s="8">
        <v>0.7537543773651123</v>
      </c>
      <c r="H122" s="8">
        <v>0.4471968709256845</v>
      </c>
      <c r="I122" s="8">
        <v>0.14360313315926893</v>
      </c>
      <c r="J122" s="8">
        <v>0.1864406779661017</v>
      </c>
      <c r="K122" s="8">
        <v>0.2503259452411995</v>
      </c>
      <c r="L122" s="8">
        <v>0.0</v>
      </c>
      <c r="M122" s="8">
        <v>0.0</v>
      </c>
      <c r="N122" s="8">
        <v>0.7693519592285156</v>
      </c>
      <c r="O122" s="8">
        <v>0.8153265714645386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</row>
    <row r="123" ht="15.75" customHeight="1">
      <c r="A123" s="10" t="s">
        <v>56</v>
      </c>
      <c r="B123" s="10" t="s">
        <v>16</v>
      </c>
      <c r="C123" s="10" t="s">
        <v>37</v>
      </c>
      <c r="D123" s="11">
        <v>0.045682240544106266</v>
      </c>
      <c r="E123" s="11">
        <v>0.7391147017478943</v>
      </c>
      <c r="F123" s="11">
        <v>0.7043507099151611</v>
      </c>
      <c r="G123" s="11">
        <v>0.7213140726089478</v>
      </c>
      <c r="H123" s="11">
        <v>0.4067340067340067</v>
      </c>
      <c r="I123" s="11">
        <v>0.1078894133513149</v>
      </c>
      <c r="J123" s="11">
        <v>0.17643097643097644</v>
      </c>
      <c r="K123" s="11">
        <v>0.24107744107744106</v>
      </c>
      <c r="L123" s="11">
        <v>0.0</v>
      </c>
      <c r="M123" s="11">
        <v>0.0</v>
      </c>
      <c r="N123" s="11">
        <v>0.7693519592285156</v>
      </c>
      <c r="O123" s="11">
        <v>0.48749488592147827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</row>
    <row r="124" ht="15.75" customHeight="1">
      <c r="A124" s="7" t="s">
        <v>57</v>
      </c>
      <c r="B124" s="7" t="s">
        <v>16</v>
      </c>
      <c r="C124" s="7" t="s">
        <v>37</v>
      </c>
      <c r="D124" s="8">
        <v>0.07197448599514916</v>
      </c>
      <c r="E124" s="8">
        <v>0.7521125674247742</v>
      </c>
      <c r="F124" s="8">
        <v>0.723625659942627</v>
      </c>
      <c r="G124" s="8">
        <v>0.7375941276550293</v>
      </c>
      <c r="H124" s="8">
        <v>0.43605870020964366</v>
      </c>
      <c r="I124" s="8">
        <v>0.12456263121063682</v>
      </c>
      <c r="J124" s="8">
        <v>0.1872816212438854</v>
      </c>
      <c r="K124" s="8">
        <v>0.24598183088749126</v>
      </c>
      <c r="L124" s="8">
        <v>0.0</v>
      </c>
      <c r="M124" s="8">
        <v>0.0</v>
      </c>
      <c r="N124" s="8">
        <v>0.7693519592285156</v>
      </c>
      <c r="O124" s="8">
        <v>0.7693519592285156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</row>
    <row r="125" ht="15.75" customHeight="1">
      <c r="A125" s="10" t="s">
        <v>58</v>
      </c>
      <c r="B125" s="10" t="s">
        <v>16</v>
      </c>
      <c r="C125" s="10" t="s">
        <v>37</v>
      </c>
      <c r="D125" s="11">
        <v>0.046993373090042874</v>
      </c>
      <c r="E125" s="11">
        <v>0.751255452632904</v>
      </c>
      <c r="F125" s="11">
        <v>0.7284574508666992</v>
      </c>
      <c r="G125" s="11">
        <v>0.7396807670593262</v>
      </c>
      <c r="H125" s="11">
        <v>0.439509954058193</v>
      </c>
      <c r="I125" s="11">
        <v>0.1058282208588957</v>
      </c>
      <c r="J125" s="11">
        <v>0.1868300153139357</v>
      </c>
      <c r="K125" s="11">
        <v>0.2664624808575804</v>
      </c>
      <c r="L125" s="11">
        <v>0.0</v>
      </c>
      <c r="M125" s="11">
        <v>0.0</v>
      </c>
      <c r="N125" s="11">
        <v>0.7693519592285156</v>
      </c>
      <c r="O125" s="11">
        <v>0.7693519592285156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</row>
    <row r="126" ht="15.75" customHeight="1">
      <c r="A126" s="7" t="s">
        <v>59</v>
      </c>
      <c r="B126" s="7" t="s">
        <v>16</v>
      </c>
      <c r="C126" s="7" t="s">
        <v>37</v>
      </c>
      <c r="D126" s="8">
        <v>0.05990229665732523</v>
      </c>
      <c r="E126" s="8">
        <v>0.7435173988342285</v>
      </c>
      <c r="F126" s="8">
        <v>0.7292792797088623</v>
      </c>
      <c r="G126" s="8">
        <v>0.7363295555114746</v>
      </c>
      <c r="H126" s="8">
        <v>0.4674085850556439</v>
      </c>
      <c r="I126" s="8">
        <v>0.12898089171974522</v>
      </c>
      <c r="J126" s="8">
        <v>0.18600953895071545</v>
      </c>
      <c r="K126" s="8">
        <v>0.273449920508744</v>
      </c>
      <c r="L126" s="8">
        <v>0.0</v>
      </c>
      <c r="M126" s="8">
        <v>0.0</v>
      </c>
      <c r="N126" s="8">
        <v>0.7693519592285156</v>
      </c>
      <c r="O126" s="8">
        <v>0.7693519592285156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</row>
    <row r="127" ht="15.75" customHeight="1">
      <c r="A127" s="10" t="s">
        <v>60</v>
      </c>
      <c r="B127" s="10" t="s">
        <v>16</v>
      </c>
      <c r="C127" s="10" t="s">
        <v>37</v>
      </c>
      <c r="D127" s="11">
        <v>0.0532299979379468</v>
      </c>
      <c r="E127" s="11">
        <v>0.7463593482971191</v>
      </c>
      <c r="F127" s="11">
        <v>0.7106330394744873</v>
      </c>
      <c r="G127" s="11">
        <v>0.7280582189559937</v>
      </c>
      <c r="H127" s="11">
        <v>0.47364513734224206</v>
      </c>
      <c r="I127" s="11">
        <v>0.13382899628252787</v>
      </c>
      <c r="J127" s="11">
        <v>0.1900519673348181</v>
      </c>
      <c r="K127" s="11">
        <v>0.27616926503340755</v>
      </c>
      <c r="L127" s="11">
        <v>0.0</v>
      </c>
      <c r="M127" s="11">
        <v>0.0</v>
      </c>
      <c r="N127" s="11">
        <v>0.7693519592285156</v>
      </c>
      <c r="O127" s="11">
        <v>0.7693519592285156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</row>
    <row r="128" ht="15.75" customHeight="1">
      <c r="A128" s="7" t="s">
        <v>15</v>
      </c>
      <c r="B128" s="7" t="s">
        <v>16</v>
      </c>
      <c r="C128" s="7" t="s">
        <v>38</v>
      </c>
      <c r="D128" s="8">
        <v>0.05413406390974244</v>
      </c>
      <c r="E128" s="8">
        <v>0.7446399927139282</v>
      </c>
      <c r="F128" s="8">
        <v>0.7318429946899414</v>
      </c>
      <c r="G128" s="8">
        <v>0.7381860017776489</v>
      </c>
      <c r="H128" s="8">
        <v>0.4665391969407266</v>
      </c>
      <c r="I128" s="8">
        <v>0.13401403956604976</v>
      </c>
      <c r="J128" s="8">
        <v>0.1988527724665392</v>
      </c>
      <c r="K128" s="8">
        <v>0.2676864244741874</v>
      </c>
      <c r="L128" s="8">
        <v>0.0</v>
      </c>
      <c r="M128" s="8">
        <v>0.0</v>
      </c>
      <c r="N128" s="8">
        <v>0.9999999403953552</v>
      </c>
      <c r="O128" s="8">
        <v>0.8271334767341614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</row>
    <row r="129" ht="15.75" customHeight="1">
      <c r="A129" s="10" t="s">
        <v>56</v>
      </c>
      <c r="B129" s="10" t="s">
        <v>16</v>
      </c>
      <c r="C129" s="10" t="s">
        <v>38</v>
      </c>
      <c r="D129" s="11">
        <v>0.037865319901855786</v>
      </c>
      <c r="E129" s="11">
        <v>0.7263250350952148</v>
      </c>
      <c r="F129" s="11">
        <v>0.700615644454956</v>
      </c>
      <c r="G129" s="11">
        <v>0.7132387161254883</v>
      </c>
      <c r="H129" s="11">
        <v>0.4447368421052631</v>
      </c>
      <c r="I129" s="11">
        <v>0.11462450592885375</v>
      </c>
      <c r="J129" s="11">
        <v>0.17894736842105263</v>
      </c>
      <c r="K129" s="11">
        <v>0.2552631578947368</v>
      </c>
      <c r="L129" s="11">
        <v>0.0</v>
      </c>
      <c r="M129" s="11">
        <v>0.0</v>
      </c>
      <c r="N129" s="11">
        <v>0.9999999403953552</v>
      </c>
      <c r="O129" s="11">
        <v>0.5545380711555481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</row>
    <row r="130" ht="15.75" customHeight="1">
      <c r="A130" s="7" t="s">
        <v>57</v>
      </c>
      <c r="B130" s="7" t="s">
        <v>16</v>
      </c>
      <c r="C130" s="7" t="s">
        <v>38</v>
      </c>
      <c r="D130" s="8">
        <v>0.0751880606466805</v>
      </c>
      <c r="E130" s="8">
        <v>0.7526096701622009</v>
      </c>
      <c r="F130" s="8">
        <v>0.7284437417984009</v>
      </c>
      <c r="G130" s="8">
        <v>0.7403295636177063</v>
      </c>
      <c r="H130" s="8">
        <v>0.5088676671214188</v>
      </c>
      <c r="I130" s="8">
        <v>0.16256830601092895</v>
      </c>
      <c r="J130" s="8">
        <v>0.20054570259208732</v>
      </c>
      <c r="K130" s="8">
        <v>0.27285129604365616</v>
      </c>
      <c r="L130" s="8">
        <v>0.0</v>
      </c>
      <c r="M130" s="8">
        <v>0.0</v>
      </c>
      <c r="N130" s="8">
        <v>0.9999999403953552</v>
      </c>
      <c r="O130" s="8">
        <v>0.9999999403953552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</row>
    <row r="131" ht="15.75" customHeight="1">
      <c r="A131" s="10" t="s">
        <v>58</v>
      </c>
      <c r="B131" s="10" t="s">
        <v>16</v>
      </c>
      <c r="C131" s="10" t="s">
        <v>38</v>
      </c>
      <c r="D131" s="11">
        <v>0.0391094142904489</v>
      </c>
      <c r="E131" s="11">
        <v>0.7373515963554382</v>
      </c>
      <c r="F131" s="11">
        <v>0.7250519394874573</v>
      </c>
      <c r="G131" s="11">
        <v>0.7311500310897827</v>
      </c>
      <c r="H131" s="11">
        <v>0.4533929903057419</v>
      </c>
      <c r="I131" s="11">
        <v>0.1075429424943988</v>
      </c>
      <c r="J131" s="11">
        <v>0.18493661446681578</v>
      </c>
      <c r="K131" s="11">
        <v>0.24906785980611487</v>
      </c>
      <c r="L131" s="11">
        <v>0.0</v>
      </c>
      <c r="M131" s="11">
        <v>0.0</v>
      </c>
      <c r="N131" s="11">
        <v>0.9999999403953552</v>
      </c>
      <c r="O131" s="11">
        <v>0.9999999403953552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</row>
    <row r="132" ht="15.75" customHeight="1">
      <c r="A132" s="7" t="s">
        <v>59</v>
      </c>
      <c r="B132" s="7" t="s">
        <v>16</v>
      </c>
      <c r="C132" s="7" t="s">
        <v>38</v>
      </c>
      <c r="D132" s="8">
        <v>0.06326950484890353</v>
      </c>
      <c r="E132" s="8">
        <v>0.7318432927131653</v>
      </c>
      <c r="F132" s="8">
        <v>0.7157224416732788</v>
      </c>
      <c r="G132" s="8">
        <v>0.7236930727958679</v>
      </c>
      <c r="H132" s="8">
        <v>0.46713070378963656</v>
      </c>
      <c r="I132" s="8">
        <v>0.1192873741285825</v>
      </c>
      <c r="J132" s="8">
        <v>0.19798917246713071</v>
      </c>
      <c r="K132" s="8">
        <v>0.2877030162412993</v>
      </c>
      <c r="L132" s="8">
        <v>0.0</v>
      </c>
      <c r="M132" s="8">
        <v>0.0</v>
      </c>
      <c r="N132" s="8">
        <v>0.9999999403953552</v>
      </c>
      <c r="O132" s="8">
        <v>0.9999999403953552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</row>
    <row r="133" ht="15.75" customHeight="1">
      <c r="A133" s="10" t="s">
        <v>60</v>
      </c>
      <c r="B133" s="10" t="s">
        <v>16</v>
      </c>
      <c r="C133" s="10" t="s">
        <v>38</v>
      </c>
      <c r="D133" s="11">
        <v>0.05489401561795902</v>
      </c>
      <c r="E133" s="11">
        <v>0.7342400550842285</v>
      </c>
      <c r="F133" s="11">
        <v>0.7086325883865356</v>
      </c>
      <c r="G133" s="11">
        <v>0.7212090492248535</v>
      </c>
      <c r="H133" s="11">
        <v>0.5094066570188133</v>
      </c>
      <c r="I133" s="11">
        <v>0.15362318840579708</v>
      </c>
      <c r="J133" s="11">
        <v>0.1939218523878437</v>
      </c>
      <c r="K133" s="11">
        <v>0.28075253256150506</v>
      </c>
      <c r="L133" s="11">
        <v>0.0</v>
      </c>
      <c r="M133" s="11">
        <v>0.0</v>
      </c>
      <c r="N133" s="11">
        <v>0.9999999403953552</v>
      </c>
      <c r="O133" s="11">
        <v>0.9999999403953552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</row>
    <row r="134" ht="15.75" customHeight="1">
      <c r="A134" s="7" t="s">
        <v>15</v>
      </c>
      <c r="B134" s="7" t="s">
        <v>16</v>
      </c>
      <c r="C134" s="7" t="s">
        <v>39</v>
      </c>
      <c r="D134" s="8">
        <v>0.022057001591843168</v>
      </c>
      <c r="E134" s="8">
        <v>0.7444972991943359</v>
      </c>
      <c r="F134" s="8">
        <v>0.7319907546043396</v>
      </c>
      <c r="G134" s="8">
        <v>0.7381910681724548</v>
      </c>
      <c r="H134" s="8">
        <v>0.38978102189781016</v>
      </c>
      <c r="I134" s="8">
        <v>0.11403508771929824</v>
      </c>
      <c r="J134" s="8">
        <v>0.1635036496350365</v>
      </c>
      <c r="K134" s="8">
        <v>0.22627737226277372</v>
      </c>
      <c r="L134" s="8">
        <v>0.0</v>
      </c>
      <c r="M134" s="8">
        <v>0.0</v>
      </c>
      <c r="N134" s="8">
        <v>0.9999999403953552</v>
      </c>
      <c r="O134" s="8">
        <v>0.8271334767341614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</row>
    <row r="135" ht="15.75" customHeight="1">
      <c r="A135" s="10" t="s">
        <v>56</v>
      </c>
      <c r="B135" s="10" t="s">
        <v>16</v>
      </c>
      <c r="C135" s="10" t="s">
        <v>39</v>
      </c>
      <c r="D135" s="11">
        <v>0.020104205959762405</v>
      </c>
      <c r="E135" s="11">
        <v>0.7262144088745117</v>
      </c>
      <c r="F135" s="11">
        <v>0.7005500793457031</v>
      </c>
      <c r="G135" s="11">
        <v>0.7131513953208923</v>
      </c>
      <c r="H135" s="11">
        <v>0.37395912187736563</v>
      </c>
      <c r="I135" s="11">
        <v>0.10462471569370733</v>
      </c>
      <c r="J135" s="11">
        <v>0.16654049962149886</v>
      </c>
      <c r="K135" s="11">
        <v>0.21801665404996215</v>
      </c>
      <c r="L135" s="11">
        <v>0.0</v>
      </c>
      <c r="M135" s="11">
        <v>0.0</v>
      </c>
      <c r="N135" s="11">
        <v>0.9999999403953552</v>
      </c>
      <c r="O135" s="11">
        <v>0.5545380711555481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</row>
    <row r="136" ht="15.75" customHeight="1">
      <c r="A136" s="7" t="s">
        <v>57</v>
      </c>
      <c r="B136" s="7" t="s">
        <v>16</v>
      </c>
      <c r="C136" s="7" t="s">
        <v>39</v>
      </c>
      <c r="D136" s="8">
        <v>0.046592331700885364</v>
      </c>
      <c r="E136" s="8">
        <v>0.7522799968719482</v>
      </c>
      <c r="F136" s="8">
        <v>0.7283065319061279</v>
      </c>
      <c r="G136" s="8">
        <v>0.7400991916656494</v>
      </c>
      <c r="H136" s="8">
        <v>0.430939226519337</v>
      </c>
      <c r="I136" s="8">
        <v>0.14387351778656127</v>
      </c>
      <c r="J136" s="8">
        <v>0.17995264404104183</v>
      </c>
      <c r="K136" s="8">
        <v>0.24782951854775062</v>
      </c>
      <c r="L136" s="8">
        <v>0.0</v>
      </c>
      <c r="M136" s="8">
        <v>0.0</v>
      </c>
      <c r="N136" s="8">
        <v>0.9999999403953552</v>
      </c>
      <c r="O136" s="8">
        <v>0.9999999403953552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</row>
    <row r="137" ht="15.75" customHeight="1">
      <c r="A137" s="10" t="s">
        <v>58</v>
      </c>
      <c r="B137" s="10" t="s">
        <v>16</v>
      </c>
      <c r="C137" s="10" t="s">
        <v>39</v>
      </c>
      <c r="D137" s="11">
        <v>0.027723808051863752</v>
      </c>
      <c r="E137" s="11">
        <v>0.7370374202728271</v>
      </c>
      <c r="F137" s="11">
        <v>0.7250043749809265</v>
      </c>
      <c r="G137" s="11">
        <v>0.7309713363647461</v>
      </c>
      <c r="H137" s="11">
        <v>0.4010507880910683</v>
      </c>
      <c r="I137" s="11">
        <v>0.10701754385964911</v>
      </c>
      <c r="J137" s="11">
        <v>0.17513134851138354</v>
      </c>
      <c r="K137" s="11">
        <v>0.23292469352014014</v>
      </c>
      <c r="L137" s="11">
        <v>0.0</v>
      </c>
      <c r="M137" s="11">
        <v>0.0</v>
      </c>
      <c r="N137" s="11">
        <v>0.9999999403953552</v>
      </c>
      <c r="O137" s="11">
        <v>0.9999999403953552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</row>
    <row r="138" ht="15.75" customHeight="1">
      <c r="A138" s="7" t="s">
        <v>59</v>
      </c>
      <c r="B138" s="7" t="s">
        <v>16</v>
      </c>
      <c r="C138" s="7" t="s">
        <v>39</v>
      </c>
      <c r="D138" s="8">
        <v>0.04005013069037849</v>
      </c>
      <c r="E138" s="8">
        <v>0.7316231727600098</v>
      </c>
      <c r="F138" s="8">
        <v>0.7157592177391052</v>
      </c>
      <c r="G138" s="8">
        <v>0.7236042022705078</v>
      </c>
      <c r="H138" s="8">
        <v>0.44058500914076787</v>
      </c>
      <c r="I138" s="8">
        <v>0.1043956043956044</v>
      </c>
      <c r="J138" s="8">
        <v>0.18464351005484464</v>
      </c>
      <c r="K138" s="8">
        <v>0.2705667276051188</v>
      </c>
      <c r="L138" s="8">
        <v>0.0</v>
      </c>
      <c r="M138" s="8">
        <v>0.0</v>
      </c>
      <c r="N138" s="8">
        <v>0.9999999403953552</v>
      </c>
      <c r="O138" s="8">
        <v>0.9999999403953552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</row>
    <row r="139" ht="15.75" customHeight="1">
      <c r="A139" s="10" t="s">
        <v>60</v>
      </c>
      <c r="B139" s="10" t="s">
        <v>16</v>
      </c>
      <c r="C139" s="10" t="s">
        <v>39</v>
      </c>
      <c r="D139" s="11">
        <v>0.038507729376946735</v>
      </c>
      <c r="E139" s="11">
        <v>0.734266996383667</v>
      </c>
      <c r="F139" s="11">
        <v>0.7083609104156494</v>
      </c>
      <c r="G139" s="11">
        <v>0.7210813760757446</v>
      </c>
      <c r="H139" s="11">
        <v>0.4480135249366019</v>
      </c>
      <c r="I139" s="11">
        <v>0.14733276883996613</v>
      </c>
      <c r="J139" s="11">
        <v>0.1893491124260355</v>
      </c>
      <c r="K139" s="11">
        <v>0.23499577345731193</v>
      </c>
      <c r="L139" s="11">
        <v>0.0</v>
      </c>
      <c r="M139" s="11">
        <v>0.0</v>
      </c>
      <c r="N139" s="11">
        <v>0.9999999403953552</v>
      </c>
      <c r="O139" s="11">
        <v>0.9999999403953552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</row>
    <row r="140" ht="15.75" customHeight="1">
      <c r="A140" s="7" t="s">
        <v>15</v>
      </c>
      <c r="B140" s="7" t="s">
        <v>16</v>
      </c>
      <c r="C140" s="7" t="s">
        <v>40</v>
      </c>
      <c r="D140" s="8">
        <v>0.03521314839243525</v>
      </c>
      <c r="E140" s="8">
        <v>0.7315559387207031</v>
      </c>
      <c r="F140" s="8">
        <v>0.7421348094940186</v>
      </c>
      <c r="G140" s="8">
        <v>0.7368074059486389</v>
      </c>
      <c r="H140" s="8">
        <v>0.42564802182810374</v>
      </c>
      <c r="I140" s="8">
        <v>0.12704918032786885</v>
      </c>
      <c r="J140" s="8">
        <v>0.17462482946793997</v>
      </c>
      <c r="K140" s="8">
        <v>0.24693042291950887</v>
      </c>
      <c r="L140" s="8">
        <v>0.0</v>
      </c>
      <c r="M140" s="8">
        <v>0.0</v>
      </c>
      <c r="N140" s="8">
        <v>0.9999999403953552</v>
      </c>
      <c r="O140" s="8">
        <v>0.8271334767341614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</row>
    <row r="141" ht="15.75" customHeight="1">
      <c r="A141" s="10" t="s">
        <v>56</v>
      </c>
      <c r="B141" s="10" t="s">
        <v>16</v>
      </c>
      <c r="C141" s="10" t="s">
        <v>40</v>
      </c>
      <c r="D141" s="11">
        <v>0.020553178852711892</v>
      </c>
      <c r="E141" s="11">
        <v>0.7230567336082458</v>
      </c>
      <c r="F141" s="11">
        <v>0.7058015465736389</v>
      </c>
      <c r="G141" s="11">
        <v>0.714324951171875</v>
      </c>
      <c r="H141" s="11">
        <v>0.3895553987297107</v>
      </c>
      <c r="I141" s="11">
        <v>0.08480565371024734</v>
      </c>
      <c r="J141" s="11">
        <v>0.17360621030345802</v>
      </c>
      <c r="K141" s="11">
        <v>0.2328863796753705</v>
      </c>
      <c r="L141" s="11">
        <v>0.0</v>
      </c>
      <c r="M141" s="11">
        <v>0.0</v>
      </c>
      <c r="N141" s="11">
        <v>0.9999999403953552</v>
      </c>
      <c r="O141" s="11">
        <v>0.5545380711555481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</row>
    <row r="142" ht="15.75" customHeight="1">
      <c r="A142" s="7" t="s">
        <v>57</v>
      </c>
      <c r="B142" s="7" t="s">
        <v>16</v>
      </c>
      <c r="C142" s="7" t="s">
        <v>40</v>
      </c>
      <c r="D142" s="8">
        <v>0.059448619344889764</v>
      </c>
      <c r="E142" s="8">
        <v>0.7414956092834473</v>
      </c>
      <c r="F142" s="8">
        <v>0.7429741621017456</v>
      </c>
      <c r="G142" s="8">
        <v>0.7422341704368591</v>
      </c>
      <c r="H142" s="8">
        <v>0.42993396918562</v>
      </c>
      <c r="I142" s="8">
        <v>0.13960323291697282</v>
      </c>
      <c r="J142" s="8">
        <v>0.18195157740278795</v>
      </c>
      <c r="K142" s="8">
        <v>0.2509170946441673</v>
      </c>
      <c r="L142" s="8">
        <v>0.0</v>
      </c>
      <c r="M142" s="8">
        <v>0.0</v>
      </c>
      <c r="N142" s="8">
        <v>0.9999999403953552</v>
      </c>
      <c r="O142" s="8">
        <v>0.9999999403953552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</row>
    <row r="143" ht="15.75" customHeight="1">
      <c r="A143" s="10" t="s">
        <v>58</v>
      </c>
      <c r="B143" s="10" t="s">
        <v>16</v>
      </c>
      <c r="C143" s="10" t="s">
        <v>40</v>
      </c>
      <c r="D143" s="11">
        <v>0.030267412642932624</v>
      </c>
      <c r="E143" s="11">
        <v>0.7235622406005859</v>
      </c>
      <c r="F143" s="11">
        <v>0.7280318140983582</v>
      </c>
      <c r="G143" s="11">
        <v>0.7257900834083557</v>
      </c>
      <c r="H143" s="11">
        <v>0.42649434571890144</v>
      </c>
      <c r="I143" s="11">
        <v>0.09546925566343042</v>
      </c>
      <c r="J143" s="11">
        <v>0.17609046849757673</v>
      </c>
      <c r="K143" s="11">
        <v>0.2310177705977383</v>
      </c>
      <c r="L143" s="11">
        <v>0.0</v>
      </c>
      <c r="M143" s="11">
        <v>0.0</v>
      </c>
      <c r="N143" s="11">
        <v>0.9999999403953552</v>
      </c>
      <c r="O143" s="11">
        <v>0.9999999403953552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</row>
    <row r="144" ht="15.75" customHeight="1">
      <c r="A144" s="7" t="s">
        <v>59</v>
      </c>
      <c r="B144" s="7" t="s">
        <v>16</v>
      </c>
      <c r="C144" s="7" t="s">
        <v>40</v>
      </c>
      <c r="D144" s="8">
        <v>0.0525325410673605</v>
      </c>
      <c r="E144" s="8">
        <v>0.7207369208335876</v>
      </c>
      <c r="F144" s="8">
        <v>0.7246726751327515</v>
      </c>
      <c r="G144" s="8">
        <v>0.7226994633674622</v>
      </c>
      <c r="H144" s="8">
        <v>0.4151260504201681</v>
      </c>
      <c r="I144" s="8">
        <v>0.10606060606060606</v>
      </c>
      <c r="J144" s="8">
        <v>0.173109243697479</v>
      </c>
      <c r="K144" s="8">
        <v>0.24033613445378152</v>
      </c>
      <c r="L144" s="8">
        <v>0.0</v>
      </c>
      <c r="M144" s="8">
        <v>0.0</v>
      </c>
      <c r="N144" s="8">
        <v>0.9999999403953552</v>
      </c>
      <c r="O144" s="8">
        <v>0.9999999403953552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</row>
    <row r="145" ht="15.75" customHeight="1">
      <c r="A145" s="10" t="s">
        <v>60</v>
      </c>
      <c r="B145" s="10" t="s">
        <v>16</v>
      </c>
      <c r="C145" s="10" t="s">
        <v>40</v>
      </c>
      <c r="D145" s="11">
        <v>0.04530186563480768</v>
      </c>
      <c r="E145" s="11">
        <v>0.7287964820861816</v>
      </c>
      <c r="F145" s="11">
        <v>0.7174278497695923</v>
      </c>
      <c r="G145" s="11">
        <v>0.7230675220489502</v>
      </c>
      <c r="H145" s="11">
        <v>0.472243940578577</v>
      </c>
      <c r="I145" s="11">
        <v>0.13469068128425998</v>
      </c>
      <c r="J145" s="11">
        <v>0.17044566067240033</v>
      </c>
      <c r="K145" s="11">
        <v>0.2611415168100078</v>
      </c>
      <c r="L145" s="11">
        <v>0.0</v>
      </c>
      <c r="M145" s="11">
        <v>0.0</v>
      </c>
      <c r="N145" s="11">
        <v>0.9999999403953552</v>
      </c>
      <c r="O145" s="11">
        <v>0.9999999403953552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</row>
    <row r="146" ht="15.75" customHeight="1">
      <c r="A146" s="7" t="s">
        <v>15</v>
      </c>
      <c r="B146" s="7" t="s">
        <v>16</v>
      </c>
      <c r="C146" s="7" t="s">
        <v>44</v>
      </c>
      <c r="D146" s="8">
        <v>0.011364789157803893</v>
      </c>
      <c r="E146" s="8">
        <v>0.7512167692184448</v>
      </c>
      <c r="F146" s="8">
        <v>0.730513334274292</v>
      </c>
      <c r="G146" s="8">
        <v>0.7407204508781433</v>
      </c>
      <c r="H146" s="8">
        <v>0.31086439333862015</v>
      </c>
      <c r="I146" s="8">
        <v>0.10643367752184274</v>
      </c>
      <c r="J146" s="8">
        <v>0.1379857256145916</v>
      </c>
      <c r="K146" s="8">
        <v>0.19191118160190326</v>
      </c>
      <c r="L146" s="8">
        <v>0.0</v>
      </c>
      <c r="M146" s="8">
        <v>0.0</v>
      </c>
      <c r="N146" s="8">
        <v>0.7693519592285156</v>
      </c>
      <c r="O146" s="8">
        <v>0.8153265714645386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</row>
    <row r="147" ht="15.75" customHeight="1">
      <c r="A147" s="10" t="s">
        <v>56</v>
      </c>
      <c r="B147" s="10" t="s">
        <v>16</v>
      </c>
      <c r="C147" s="10" t="s">
        <v>44</v>
      </c>
      <c r="D147" s="11">
        <v>0.011668952783643242</v>
      </c>
      <c r="E147" s="11">
        <v>0.7384743690490723</v>
      </c>
      <c r="F147" s="11">
        <v>0.701697826385498</v>
      </c>
      <c r="G147" s="11">
        <v>0.7196165323257446</v>
      </c>
      <c r="H147" s="11">
        <v>0.30363036303630364</v>
      </c>
      <c r="I147" s="11">
        <v>0.0859504132231405</v>
      </c>
      <c r="J147" s="11">
        <v>0.15016501650165015</v>
      </c>
      <c r="K147" s="11">
        <v>0.19471947194719472</v>
      </c>
      <c r="L147" s="11">
        <v>0.0</v>
      </c>
      <c r="M147" s="11">
        <v>0.0</v>
      </c>
      <c r="N147" s="11">
        <v>0.7693519592285156</v>
      </c>
      <c r="O147" s="11">
        <v>0.48749488592147827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</row>
    <row r="148" ht="15.75" customHeight="1">
      <c r="A148" s="7" t="s">
        <v>57</v>
      </c>
      <c r="B148" s="7" t="s">
        <v>16</v>
      </c>
      <c r="C148" s="7" t="s">
        <v>44</v>
      </c>
      <c r="D148" s="8">
        <v>0.018002890996803276</v>
      </c>
      <c r="E148" s="8">
        <v>0.763245701789856</v>
      </c>
      <c r="F148" s="8">
        <v>0.7312734723091125</v>
      </c>
      <c r="G148" s="8">
        <v>0.7469176054000854</v>
      </c>
      <c r="H148" s="8">
        <v>0.3281519861830743</v>
      </c>
      <c r="I148" s="8">
        <v>0.10726643598615916</v>
      </c>
      <c r="J148" s="8">
        <v>0.14853195164075994</v>
      </c>
      <c r="K148" s="8">
        <v>0.19516407599309157</v>
      </c>
      <c r="L148" s="8">
        <v>0.0</v>
      </c>
      <c r="M148" s="8">
        <v>0.0</v>
      </c>
      <c r="N148" s="8">
        <v>0.7693519592285156</v>
      </c>
      <c r="O148" s="8">
        <v>0.7693519592285156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</row>
    <row r="149" ht="15.75" customHeight="1">
      <c r="A149" s="10" t="s">
        <v>58</v>
      </c>
      <c r="B149" s="10" t="s">
        <v>16</v>
      </c>
      <c r="C149" s="10" t="s">
        <v>44</v>
      </c>
      <c r="D149" s="11">
        <v>0.01527891215720533</v>
      </c>
      <c r="E149" s="11">
        <v>0.737402081489563</v>
      </c>
      <c r="F149" s="11">
        <v>0.713494062423706</v>
      </c>
      <c r="G149" s="11">
        <v>0.7252510786056519</v>
      </c>
      <c r="H149" s="11">
        <v>0.3504356243949661</v>
      </c>
      <c r="I149" s="11">
        <v>0.08535402521823474</v>
      </c>
      <c r="J149" s="11">
        <v>0.1626331074540174</v>
      </c>
      <c r="K149" s="11">
        <v>0.19361084220716362</v>
      </c>
      <c r="L149" s="11">
        <v>0.0</v>
      </c>
      <c r="M149" s="11">
        <v>0.0</v>
      </c>
      <c r="N149" s="11">
        <v>0.7693519592285156</v>
      </c>
      <c r="O149" s="11">
        <v>0.7693519592285156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</row>
    <row r="150" ht="15.75" customHeight="1">
      <c r="A150" s="7" t="s">
        <v>59</v>
      </c>
      <c r="B150" s="7" t="s">
        <v>16</v>
      </c>
      <c r="C150" s="7" t="s">
        <v>44</v>
      </c>
      <c r="D150" s="8">
        <v>0.02588242521914685</v>
      </c>
      <c r="E150" s="8">
        <v>0.7410961985588074</v>
      </c>
      <c r="F150" s="8">
        <v>0.714115560054779</v>
      </c>
      <c r="G150" s="8">
        <v>0.7273557782173157</v>
      </c>
      <c r="H150" s="8">
        <v>0.36751269035532996</v>
      </c>
      <c r="I150" s="8">
        <v>0.08341810783316378</v>
      </c>
      <c r="J150" s="8">
        <v>0.16243654822335027</v>
      </c>
      <c r="K150" s="8">
        <v>0.2152284263959391</v>
      </c>
      <c r="L150" s="8">
        <v>0.0</v>
      </c>
      <c r="M150" s="8">
        <v>0.0</v>
      </c>
      <c r="N150" s="8">
        <v>0.7693519592285156</v>
      </c>
      <c r="O150" s="8">
        <v>0.7693519592285156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</row>
    <row r="151" ht="15.75" customHeight="1">
      <c r="A151" s="10" t="s">
        <v>60</v>
      </c>
      <c r="B151" s="10" t="s">
        <v>16</v>
      </c>
      <c r="C151" s="10" t="s">
        <v>44</v>
      </c>
      <c r="D151" s="11">
        <v>0.02723029221850601</v>
      </c>
      <c r="E151" s="11">
        <v>0.7521703243255615</v>
      </c>
      <c r="F151" s="11">
        <v>0.7175021171569824</v>
      </c>
      <c r="G151" s="11">
        <v>0.7344273328781128</v>
      </c>
      <c r="H151" s="11">
        <v>0.3798882681564246</v>
      </c>
      <c r="I151" s="11">
        <v>0.13432835820895522</v>
      </c>
      <c r="J151" s="11">
        <v>0.16945996275605213</v>
      </c>
      <c r="K151" s="11">
        <v>0.22532588454376162</v>
      </c>
      <c r="L151" s="11">
        <v>0.0</v>
      </c>
      <c r="M151" s="11">
        <v>0.0</v>
      </c>
      <c r="N151" s="11">
        <v>0.7693519592285156</v>
      </c>
      <c r="O151" s="11">
        <v>0.7693519592285156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</row>
    <row r="152" ht="15.75" customHeight="1">
      <c r="A152" s="7" t="s">
        <v>15</v>
      </c>
      <c r="B152" s="7" t="s">
        <v>16</v>
      </c>
      <c r="C152" s="7" t="s">
        <v>45</v>
      </c>
      <c r="D152" s="8">
        <v>0.011364789157803893</v>
      </c>
      <c r="E152" s="8">
        <v>0.7512167692184448</v>
      </c>
      <c r="F152" s="8">
        <v>0.730513334274292</v>
      </c>
      <c r="G152" s="8">
        <v>0.7407204508781433</v>
      </c>
      <c r="H152" s="8">
        <v>0.31086439333862015</v>
      </c>
      <c r="I152" s="8">
        <v>0.10643367752184274</v>
      </c>
      <c r="J152" s="8">
        <v>0.1379857256145916</v>
      </c>
      <c r="K152" s="8">
        <v>0.19191118160190326</v>
      </c>
      <c r="L152" s="8">
        <v>0.0</v>
      </c>
      <c r="M152" s="8">
        <v>0.0</v>
      </c>
      <c r="N152" s="8">
        <v>0.7693519592285156</v>
      </c>
      <c r="O152" s="8">
        <v>0.8153265714645386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</row>
    <row r="153" ht="15.75" customHeight="1">
      <c r="A153" s="10" t="s">
        <v>56</v>
      </c>
      <c r="B153" s="10" t="s">
        <v>16</v>
      </c>
      <c r="C153" s="10" t="s">
        <v>45</v>
      </c>
      <c r="D153" s="11">
        <v>0.011668952783643242</v>
      </c>
      <c r="E153" s="11">
        <v>0.7384743690490723</v>
      </c>
      <c r="F153" s="11">
        <v>0.701697826385498</v>
      </c>
      <c r="G153" s="11">
        <v>0.7196165323257446</v>
      </c>
      <c r="H153" s="11">
        <v>0.30363036303630364</v>
      </c>
      <c r="I153" s="11">
        <v>0.0859504132231405</v>
      </c>
      <c r="J153" s="11">
        <v>0.15016501650165015</v>
      </c>
      <c r="K153" s="11">
        <v>0.19471947194719472</v>
      </c>
      <c r="L153" s="11">
        <v>0.0</v>
      </c>
      <c r="M153" s="11">
        <v>0.0</v>
      </c>
      <c r="N153" s="11">
        <v>0.7693519592285156</v>
      </c>
      <c r="O153" s="11">
        <v>0.48749488592147827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</row>
    <row r="154" ht="15.75" customHeight="1">
      <c r="A154" s="7" t="s">
        <v>57</v>
      </c>
      <c r="B154" s="7" t="s">
        <v>16</v>
      </c>
      <c r="C154" s="7" t="s">
        <v>45</v>
      </c>
      <c r="D154" s="8">
        <v>0.018002890996803276</v>
      </c>
      <c r="E154" s="8">
        <v>0.763245701789856</v>
      </c>
      <c r="F154" s="8">
        <v>0.7312734723091125</v>
      </c>
      <c r="G154" s="8">
        <v>0.7469176054000854</v>
      </c>
      <c r="H154" s="8">
        <v>0.3281519861830743</v>
      </c>
      <c r="I154" s="8">
        <v>0.10726643598615916</v>
      </c>
      <c r="J154" s="8">
        <v>0.14853195164075994</v>
      </c>
      <c r="K154" s="8">
        <v>0.19516407599309157</v>
      </c>
      <c r="L154" s="8">
        <v>0.0</v>
      </c>
      <c r="M154" s="8">
        <v>0.0</v>
      </c>
      <c r="N154" s="8">
        <v>0.7693519592285156</v>
      </c>
      <c r="O154" s="8">
        <v>0.7693519592285156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</row>
    <row r="155" ht="15.75" customHeight="1">
      <c r="A155" s="10" t="s">
        <v>58</v>
      </c>
      <c r="B155" s="10" t="s">
        <v>16</v>
      </c>
      <c r="C155" s="10" t="s">
        <v>45</v>
      </c>
      <c r="D155" s="11">
        <v>0.01527891215720533</v>
      </c>
      <c r="E155" s="11">
        <v>0.737402081489563</v>
      </c>
      <c r="F155" s="11">
        <v>0.713494062423706</v>
      </c>
      <c r="G155" s="11">
        <v>0.7252510786056519</v>
      </c>
      <c r="H155" s="11">
        <v>0.3504356243949661</v>
      </c>
      <c r="I155" s="11">
        <v>0.08535402521823474</v>
      </c>
      <c r="J155" s="11">
        <v>0.1626331074540174</v>
      </c>
      <c r="K155" s="11">
        <v>0.19361084220716362</v>
      </c>
      <c r="L155" s="11">
        <v>0.0</v>
      </c>
      <c r="M155" s="11">
        <v>0.0</v>
      </c>
      <c r="N155" s="11">
        <v>0.7693519592285156</v>
      </c>
      <c r="O155" s="11">
        <v>0.7693519592285156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</row>
    <row r="156" ht="15.75" customHeight="1">
      <c r="A156" s="7" t="s">
        <v>59</v>
      </c>
      <c r="B156" s="7" t="s">
        <v>16</v>
      </c>
      <c r="C156" s="7" t="s">
        <v>45</v>
      </c>
      <c r="D156" s="8">
        <v>0.02588242521914685</v>
      </c>
      <c r="E156" s="8">
        <v>0.7410961985588074</v>
      </c>
      <c r="F156" s="8">
        <v>0.714115560054779</v>
      </c>
      <c r="G156" s="8">
        <v>0.7273557782173157</v>
      </c>
      <c r="H156" s="8">
        <v>0.36751269035532996</v>
      </c>
      <c r="I156" s="8">
        <v>0.08341810783316378</v>
      </c>
      <c r="J156" s="8">
        <v>0.16243654822335027</v>
      </c>
      <c r="K156" s="8">
        <v>0.2152284263959391</v>
      </c>
      <c r="L156" s="8">
        <v>0.0</v>
      </c>
      <c r="M156" s="8">
        <v>0.0</v>
      </c>
      <c r="N156" s="8">
        <v>0.7693519592285156</v>
      </c>
      <c r="O156" s="8">
        <v>0.7693519592285156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</row>
    <row r="157" ht="15.75" customHeight="1">
      <c r="A157" s="10" t="s">
        <v>60</v>
      </c>
      <c r="B157" s="10" t="s">
        <v>16</v>
      </c>
      <c r="C157" s="10" t="s">
        <v>45</v>
      </c>
      <c r="D157" s="11">
        <v>0.02723029221850601</v>
      </c>
      <c r="E157" s="11">
        <v>0.7521703243255615</v>
      </c>
      <c r="F157" s="11">
        <v>0.7175021171569824</v>
      </c>
      <c r="G157" s="11">
        <v>0.7344273328781128</v>
      </c>
      <c r="H157" s="11">
        <v>0.3798882681564246</v>
      </c>
      <c r="I157" s="11">
        <v>0.13432835820895522</v>
      </c>
      <c r="J157" s="11">
        <v>0.16945996275605213</v>
      </c>
      <c r="K157" s="11">
        <v>0.22532588454376162</v>
      </c>
      <c r="L157" s="11">
        <v>0.0</v>
      </c>
      <c r="M157" s="11">
        <v>0.0</v>
      </c>
      <c r="N157" s="11">
        <v>0.7693519592285156</v>
      </c>
      <c r="O157" s="11">
        <v>0.7693519592285156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</row>
    <row r="158" ht="15.75" customHeight="1">
      <c r="A158" s="7" t="s">
        <v>15</v>
      </c>
      <c r="B158" s="7" t="s">
        <v>16</v>
      </c>
      <c r="C158" s="7" t="s">
        <v>46</v>
      </c>
      <c r="D158" s="8">
        <v>0.012332304597867511</v>
      </c>
      <c r="E158" s="8">
        <v>0.7527696490287781</v>
      </c>
      <c r="F158" s="8">
        <v>0.7336876392364502</v>
      </c>
      <c r="G158" s="8">
        <v>0.7431061267852783</v>
      </c>
      <c r="H158" s="8">
        <v>0.32238349885408707</v>
      </c>
      <c r="I158" s="8">
        <v>0.09640397857689366</v>
      </c>
      <c r="J158" s="8">
        <v>0.15278838808250572</v>
      </c>
      <c r="K158" s="8">
        <v>0.1940412528647823</v>
      </c>
      <c r="L158" s="8">
        <v>0.0</v>
      </c>
      <c r="M158" s="8">
        <v>0.0</v>
      </c>
      <c r="N158" s="8">
        <v>0.7693519592285156</v>
      </c>
      <c r="O158" s="8">
        <v>0.8153265714645386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</row>
    <row r="159" ht="15.75" customHeight="1">
      <c r="A159" s="10" t="s">
        <v>56</v>
      </c>
      <c r="B159" s="10" t="s">
        <v>16</v>
      </c>
      <c r="C159" s="10" t="s">
        <v>46</v>
      </c>
      <c r="D159" s="11">
        <v>0.01170943430564898</v>
      </c>
      <c r="E159" s="11">
        <v>0.7281744480133057</v>
      </c>
      <c r="F159" s="11">
        <v>0.6890741586685181</v>
      </c>
      <c r="G159" s="11">
        <v>0.7080849409103394</v>
      </c>
      <c r="H159" s="11">
        <v>0.32222222222222224</v>
      </c>
      <c r="I159" s="11">
        <v>0.07949125596184418</v>
      </c>
      <c r="J159" s="11">
        <v>0.1619047619047619</v>
      </c>
      <c r="K159" s="11">
        <v>0.1888888888888889</v>
      </c>
      <c r="L159" s="11">
        <v>0.0</v>
      </c>
      <c r="M159" s="11">
        <v>0.0</v>
      </c>
      <c r="N159" s="11">
        <v>0.7693519592285156</v>
      </c>
      <c r="O159" s="11">
        <v>0.48749488592147827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</row>
    <row r="160" ht="15.75" customHeight="1">
      <c r="A160" s="7" t="s">
        <v>57</v>
      </c>
      <c r="B160" s="7" t="s">
        <v>16</v>
      </c>
      <c r="C160" s="7" t="s">
        <v>46</v>
      </c>
      <c r="D160" s="8">
        <v>0.02053894991158001</v>
      </c>
      <c r="E160" s="8">
        <v>0.7468331456184387</v>
      </c>
      <c r="F160" s="8">
        <v>0.7222006320953369</v>
      </c>
      <c r="G160" s="8">
        <v>0.7343104481697083</v>
      </c>
      <c r="H160" s="8">
        <v>0.3598673300165838</v>
      </c>
      <c r="I160" s="8">
        <v>0.10299003322259136</v>
      </c>
      <c r="J160" s="8">
        <v>0.1691542288557214</v>
      </c>
      <c r="K160" s="8">
        <v>0.22388059701492535</v>
      </c>
      <c r="L160" s="8">
        <v>0.0</v>
      </c>
      <c r="M160" s="8">
        <v>0.0</v>
      </c>
      <c r="N160" s="8">
        <v>0.7693519592285156</v>
      </c>
      <c r="O160" s="8">
        <v>0.7693519592285156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</row>
    <row r="161" ht="15.75" customHeight="1">
      <c r="A161" s="10" t="s">
        <v>58</v>
      </c>
      <c r="B161" s="10" t="s">
        <v>16</v>
      </c>
      <c r="C161" s="10" t="s">
        <v>46</v>
      </c>
      <c r="D161" s="11">
        <v>0.0</v>
      </c>
      <c r="E161" s="11">
        <v>0.7392860651016235</v>
      </c>
      <c r="F161" s="11">
        <v>0.7178995013237</v>
      </c>
      <c r="G161" s="11">
        <v>0.7284358739852905</v>
      </c>
      <c r="H161" s="11">
        <v>0.3404255319148936</v>
      </c>
      <c r="I161" s="11">
        <v>0.08897126969416126</v>
      </c>
      <c r="J161" s="11">
        <v>0.1646623496762257</v>
      </c>
      <c r="K161" s="11">
        <v>0.19796484736355227</v>
      </c>
      <c r="L161" s="11">
        <v>0.0</v>
      </c>
      <c r="M161" s="11">
        <v>0.0</v>
      </c>
      <c r="N161" s="11">
        <v>0.7693519592285156</v>
      </c>
      <c r="O161" s="11">
        <v>0.7693519592285156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</row>
    <row r="162" ht="15.75" customHeight="1">
      <c r="A162" s="7" t="s">
        <v>59</v>
      </c>
      <c r="B162" s="7" t="s">
        <v>16</v>
      </c>
      <c r="C162" s="7" t="s">
        <v>46</v>
      </c>
      <c r="D162" s="8">
        <v>0.03268272469689471</v>
      </c>
      <c r="E162" s="8">
        <v>0.7386230826377869</v>
      </c>
      <c r="F162" s="8">
        <v>0.7118315100669861</v>
      </c>
      <c r="G162" s="8">
        <v>0.7249798774719238</v>
      </c>
      <c r="H162" s="8">
        <v>0.3794772507260407</v>
      </c>
      <c r="I162" s="8">
        <v>0.12221144519883607</v>
      </c>
      <c r="J162" s="8">
        <v>0.17812197483059047</v>
      </c>
      <c r="K162" s="8">
        <v>0.2323330106485963</v>
      </c>
      <c r="L162" s="8">
        <v>0.0</v>
      </c>
      <c r="M162" s="8">
        <v>0.0</v>
      </c>
      <c r="N162" s="8">
        <v>0.7693519592285156</v>
      </c>
      <c r="O162" s="8">
        <v>0.7693519592285156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</row>
    <row r="163" ht="15.75" customHeight="1">
      <c r="A163" s="10" t="s">
        <v>60</v>
      </c>
      <c r="B163" s="10" t="s">
        <v>16</v>
      </c>
      <c r="C163" s="10" t="s">
        <v>46</v>
      </c>
      <c r="D163" s="11">
        <v>0.02809783875873312</v>
      </c>
      <c r="E163" s="11">
        <v>0.7391908764839172</v>
      </c>
      <c r="F163" s="11">
        <v>0.7132412791252136</v>
      </c>
      <c r="G163" s="11">
        <v>0.7259842753410339</v>
      </c>
      <c r="H163" s="11">
        <v>0.40463458110516937</v>
      </c>
      <c r="I163" s="11">
        <v>0.13392857142857142</v>
      </c>
      <c r="J163" s="11">
        <v>0.18360071301247774</v>
      </c>
      <c r="K163" s="11">
        <v>0.22816399286987524</v>
      </c>
      <c r="L163" s="11">
        <v>0.0</v>
      </c>
      <c r="M163" s="11">
        <v>0.0</v>
      </c>
      <c r="N163" s="11">
        <v>0.7693519592285156</v>
      </c>
      <c r="O163" s="11">
        <v>0.7693519592285156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</row>
    <row r="164" ht="15.75" customHeight="1">
      <c r="A164" s="7" t="s">
        <v>15</v>
      </c>
      <c r="B164" s="7" t="s">
        <v>16</v>
      </c>
      <c r="C164" s="7" t="s">
        <v>41</v>
      </c>
      <c r="D164" s="8">
        <v>0.01400133874309025</v>
      </c>
      <c r="E164" s="8">
        <v>0.7456180453300476</v>
      </c>
      <c r="F164" s="8">
        <v>0.7373365759849548</v>
      </c>
      <c r="G164" s="8">
        <v>0.7414541244506836</v>
      </c>
      <c r="H164" s="8">
        <v>0.3611940298507463</v>
      </c>
      <c r="I164" s="8">
        <v>0.10164424514200299</v>
      </c>
      <c r="J164" s="8">
        <v>0.16567164179104482</v>
      </c>
      <c r="K164" s="8">
        <v>0.21492537313432836</v>
      </c>
      <c r="L164" s="8">
        <v>0.7023138999938965</v>
      </c>
      <c r="M164" s="8">
        <v>0.6929934024810791</v>
      </c>
      <c r="N164" s="8">
        <v>0.7023138999938965</v>
      </c>
      <c r="O164" s="8">
        <v>0.6929934024810791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</row>
    <row r="165" ht="15.75" customHeight="1">
      <c r="A165" s="10" t="s">
        <v>56</v>
      </c>
      <c r="B165" s="10" t="s">
        <v>16</v>
      </c>
      <c r="C165" s="10" t="s">
        <v>41</v>
      </c>
      <c r="D165" s="11">
        <v>0.010740672090066503</v>
      </c>
      <c r="E165" s="11">
        <v>0.7153716087341309</v>
      </c>
      <c r="F165" s="11">
        <v>0.7016189098358154</v>
      </c>
      <c r="G165" s="11">
        <v>0.7084285020828247</v>
      </c>
      <c r="H165" s="11">
        <v>0.33152594887683967</v>
      </c>
      <c r="I165" s="11">
        <v>0.057408844065166796</v>
      </c>
      <c r="J165" s="11">
        <v>0.15956622773044152</v>
      </c>
      <c r="K165" s="11">
        <v>0.21068938807126256</v>
      </c>
      <c r="L165" s="11">
        <v>0.7023138999938965</v>
      </c>
      <c r="M165" s="11">
        <v>0.6429824233055115</v>
      </c>
      <c r="N165" s="11">
        <v>0.7023138999938965</v>
      </c>
      <c r="O165" s="11">
        <v>0.6429824233055115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</row>
    <row r="166" ht="15.75" customHeight="1">
      <c r="A166" s="7" t="s">
        <v>57</v>
      </c>
      <c r="B166" s="7" t="s">
        <v>16</v>
      </c>
      <c r="C166" s="7" t="s">
        <v>41</v>
      </c>
      <c r="D166" s="8">
        <v>0.021702246409105987</v>
      </c>
      <c r="E166" s="8">
        <v>0.7419450283050537</v>
      </c>
      <c r="F166" s="8">
        <v>0.7323743104934692</v>
      </c>
      <c r="G166" s="8">
        <v>0.7371285557746887</v>
      </c>
      <c r="H166" s="8">
        <v>0.3783346806790623</v>
      </c>
      <c r="I166" s="8">
        <v>0.0825910931174089</v>
      </c>
      <c r="J166" s="8">
        <v>0.17784963621665317</v>
      </c>
      <c r="K166" s="8">
        <v>0.2231204527081649</v>
      </c>
      <c r="L166" s="8">
        <v>0.7023138999938965</v>
      </c>
      <c r="M166" s="8">
        <v>0.7023138999938965</v>
      </c>
      <c r="N166" s="8">
        <v>0.7023138999938965</v>
      </c>
      <c r="O166" s="8">
        <v>0.7023138999938965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</row>
    <row r="167" ht="15.75" customHeight="1">
      <c r="A167" s="10" t="s">
        <v>58</v>
      </c>
      <c r="B167" s="10" t="s">
        <v>16</v>
      </c>
      <c r="C167" s="10" t="s">
        <v>41</v>
      </c>
      <c r="D167" s="11">
        <v>0.016187655875222435</v>
      </c>
      <c r="E167" s="11">
        <v>0.7338931560516357</v>
      </c>
      <c r="F167" s="11">
        <v>0.725271999835968</v>
      </c>
      <c r="G167" s="11">
        <v>0.7295571565628052</v>
      </c>
      <c r="H167" s="11">
        <v>0.3741007194244604</v>
      </c>
      <c r="I167" s="11">
        <v>0.06306306306306307</v>
      </c>
      <c r="J167" s="11">
        <v>0.1618705035971223</v>
      </c>
      <c r="K167" s="11">
        <v>0.2158273381294964</v>
      </c>
      <c r="L167" s="11">
        <v>0.7023138999938965</v>
      </c>
      <c r="M167" s="11">
        <v>0.7023138999938965</v>
      </c>
      <c r="N167" s="11">
        <v>0.7023138999938965</v>
      </c>
      <c r="O167" s="11">
        <v>0.7023138999938965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</row>
    <row r="168" ht="15.75" customHeight="1">
      <c r="A168" s="7" t="s">
        <v>59</v>
      </c>
      <c r="B168" s="7" t="s">
        <v>16</v>
      </c>
      <c r="C168" s="7" t="s">
        <v>41</v>
      </c>
      <c r="D168" s="8">
        <v>0.024143386010189123</v>
      </c>
      <c r="E168" s="8">
        <v>0.738052487373352</v>
      </c>
      <c r="F168" s="8">
        <v>0.7264969944953918</v>
      </c>
      <c r="G168" s="8">
        <v>0.7322291135787964</v>
      </c>
      <c r="H168" s="8">
        <v>0.400375939849624</v>
      </c>
      <c r="I168" s="8">
        <v>0.11864406779661019</v>
      </c>
      <c r="J168" s="8">
        <v>0.17857142857142858</v>
      </c>
      <c r="K168" s="8">
        <v>0.24248120300751883</v>
      </c>
      <c r="L168" s="8">
        <v>0.7023138999938965</v>
      </c>
      <c r="M168" s="8">
        <v>0.7023138999938965</v>
      </c>
      <c r="N168" s="8">
        <v>0.7023138999938965</v>
      </c>
      <c r="O168" s="8">
        <v>0.7023138999938965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</row>
    <row r="169" ht="15.75" customHeight="1">
      <c r="A169" s="10" t="s">
        <v>60</v>
      </c>
      <c r="B169" s="10" t="s">
        <v>16</v>
      </c>
      <c r="C169" s="10" t="s">
        <v>41</v>
      </c>
      <c r="D169" s="11">
        <v>0.026255253648872132</v>
      </c>
      <c r="E169" s="11">
        <v>0.7350645065307617</v>
      </c>
      <c r="F169" s="11">
        <v>0.7220664024353027</v>
      </c>
      <c r="G169" s="11">
        <v>0.7285074591636658</v>
      </c>
      <c r="H169" s="11">
        <v>0.398959236773634</v>
      </c>
      <c r="I169" s="11">
        <v>0.0955690703735882</v>
      </c>
      <c r="J169" s="11">
        <v>0.18733738074588033</v>
      </c>
      <c r="K169" s="11">
        <v>0.22549869904596703</v>
      </c>
      <c r="L169" s="11">
        <v>0.7023138999938965</v>
      </c>
      <c r="M169" s="11">
        <v>0.7023138999938965</v>
      </c>
      <c r="N169" s="11">
        <v>0.7023138999938965</v>
      </c>
      <c r="O169" s="11">
        <v>0.7023138999938965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</row>
    <row r="170" ht="15.75" customHeight="1">
      <c r="A170" s="7" t="s">
        <v>15</v>
      </c>
      <c r="B170" s="7" t="s">
        <v>16</v>
      </c>
      <c r="C170" s="7" t="s">
        <v>42</v>
      </c>
      <c r="D170" s="8">
        <v>0.02298249085325447</v>
      </c>
      <c r="E170" s="8">
        <v>0.7461888790130615</v>
      </c>
      <c r="F170" s="8">
        <v>0.7313482165336609</v>
      </c>
      <c r="G170" s="8">
        <v>0.7386940121650696</v>
      </c>
      <c r="H170" s="8">
        <v>0.3561046511627907</v>
      </c>
      <c r="I170" s="8">
        <v>0.09752547307132459</v>
      </c>
      <c r="J170" s="8">
        <v>0.16133720930232556</v>
      </c>
      <c r="K170" s="8">
        <v>0.21366279069767444</v>
      </c>
      <c r="L170" s="8">
        <v>0.0</v>
      </c>
      <c r="M170" s="8">
        <v>0.0</v>
      </c>
      <c r="N170" s="8">
        <v>0.7693519592285156</v>
      </c>
      <c r="O170" s="8">
        <v>0.8153265714645386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</row>
    <row r="171" ht="15.75" customHeight="1">
      <c r="A171" s="10" t="s">
        <v>56</v>
      </c>
      <c r="B171" s="10" t="s">
        <v>16</v>
      </c>
      <c r="C171" s="10" t="s">
        <v>42</v>
      </c>
      <c r="D171" s="11">
        <v>0.02348984272603956</v>
      </c>
      <c r="E171" s="11">
        <v>0.7359343767166138</v>
      </c>
      <c r="F171" s="11">
        <v>0.699051022529602</v>
      </c>
      <c r="G171" s="11">
        <v>0.7170186638832092</v>
      </c>
      <c r="H171" s="11">
        <v>0.3225320271288621</v>
      </c>
      <c r="I171" s="11">
        <v>0.07849056603773585</v>
      </c>
      <c r="J171" s="11">
        <v>0.15825169555388094</v>
      </c>
      <c r="K171" s="11">
        <v>0.19894498869630745</v>
      </c>
      <c r="L171" s="11">
        <v>0.0</v>
      </c>
      <c r="M171" s="11">
        <v>0.0</v>
      </c>
      <c r="N171" s="11">
        <v>0.7693519592285156</v>
      </c>
      <c r="O171" s="11">
        <v>0.48749488592147827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</row>
    <row r="172" ht="15.75" customHeight="1">
      <c r="A172" s="7" t="s">
        <v>57</v>
      </c>
      <c r="B172" s="7" t="s">
        <v>16</v>
      </c>
      <c r="C172" s="7" t="s">
        <v>42</v>
      </c>
      <c r="D172" s="8">
        <v>0.034569283233308226</v>
      </c>
      <c r="E172" s="8">
        <v>0.7505068778991699</v>
      </c>
      <c r="F172" s="8">
        <v>0.7258110046386719</v>
      </c>
      <c r="G172" s="8">
        <v>0.7379523515701294</v>
      </c>
      <c r="H172" s="8">
        <v>0.40062843676355064</v>
      </c>
      <c r="I172" s="8">
        <v>0.12116443745082614</v>
      </c>
      <c r="J172" s="8">
        <v>0.18224666142969365</v>
      </c>
      <c r="K172" s="8">
        <v>0.22623723487824038</v>
      </c>
      <c r="L172" s="8">
        <v>0.0</v>
      </c>
      <c r="M172" s="8">
        <v>0.0</v>
      </c>
      <c r="N172" s="8">
        <v>0.7693519592285156</v>
      </c>
      <c r="O172" s="8">
        <v>0.7693519592285156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</row>
    <row r="173" ht="15.75" customHeight="1">
      <c r="A173" s="10" t="s">
        <v>58</v>
      </c>
      <c r="B173" s="10" t="s">
        <v>16</v>
      </c>
      <c r="C173" s="10" t="s">
        <v>42</v>
      </c>
      <c r="D173" s="11">
        <v>0.02362758040151927</v>
      </c>
      <c r="E173" s="11">
        <v>0.7368090152740479</v>
      </c>
      <c r="F173" s="11">
        <v>0.7243735790252686</v>
      </c>
      <c r="G173" s="11">
        <v>0.7305383682250977</v>
      </c>
      <c r="H173" s="11">
        <v>0.37979094076655057</v>
      </c>
      <c r="I173" s="11">
        <v>0.0837696335078534</v>
      </c>
      <c r="J173" s="11">
        <v>0.1707317073170732</v>
      </c>
      <c r="K173" s="11">
        <v>0.23170731707317074</v>
      </c>
      <c r="L173" s="11">
        <v>0.0</v>
      </c>
      <c r="M173" s="11">
        <v>0.0</v>
      </c>
      <c r="N173" s="11">
        <v>0.7693519592285156</v>
      </c>
      <c r="O173" s="11">
        <v>0.7693519592285156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</row>
    <row r="174" ht="15.75" customHeight="1">
      <c r="A174" s="7" t="s">
        <v>59</v>
      </c>
      <c r="B174" s="7" t="s">
        <v>16</v>
      </c>
      <c r="C174" s="7" t="s">
        <v>42</v>
      </c>
      <c r="D174" s="8">
        <v>0.03799755314826677</v>
      </c>
      <c r="E174" s="8">
        <v>0.7417626976966858</v>
      </c>
      <c r="F174" s="8">
        <v>0.7207703590393066</v>
      </c>
      <c r="G174" s="8">
        <v>0.7311158776283264</v>
      </c>
      <c r="H174" s="8">
        <v>0.3981818181818182</v>
      </c>
      <c r="I174" s="8">
        <v>0.1202185792349727</v>
      </c>
      <c r="J174" s="8">
        <v>0.17454545454545453</v>
      </c>
      <c r="K174" s="8">
        <v>0.23090909090909092</v>
      </c>
      <c r="L174" s="8">
        <v>0.0</v>
      </c>
      <c r="M174" s="8">
        <v>0.0</v>
      </c>
      <c r="N174" s="8">
        <v>0.7693519592285156</v>
      </c>
      <c r="O174" s="8">
        <v>0.7693519592285156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</row>
    <row r="175" ht="15.75" customHeight="1">
      <c r="A175" s="10" t="s">
        <v>60</v>
      </c>
      <c r="B175" s="10" t="s">
        <v>16</v>
      </c>
      <c r="C175" s="10" t="s">
        <v>42</v>
      </c>
      <c r="D175" s="11">
        <v>0.034913084722044824</v>
      </c>
      <c r="E175" s="11">
        <v>0.7370110750198364</v>
      </c>
      <c r="F175" s="11">
        <v>0.710284948348999</v>
      </c>
      <c r="G175" s="11">
        <v>0.7234012484550476</v>
      </c>
      <c r="H175" s="11">
        <v>0.41379310344827586</v>
      </c>
      <c r="I175" s="11">
        <v>0.13142375737152487</v>
      </c>
      <c r="J175" s="11">
        <v>0.18334735071488648</v>
      </c>
      <c r="K175" s="11">
        <v>0.24558452481076534</v>
      </c>
      <c r="L175" s="11">
        <v>0.0</v>
      </c>
      <c r="M175" s="11">
        <v>0.0</v>
      </c>
      <c r="N175" s="11">
        <v>0.7693519592285156</v>
      </c>
      <c r="O175" s="11">
        <v>0.7693519592285156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</row>
    <row r="176" ht="15.75" customHeight="1">
      <c r="A176" s="7" t="s">
        <v>15</v>
      </c>
      <c r="B176" s="7" t="s">
        <v>16</v>
      </c>
      <c r="C176" s="7" t="s">
        <v>43</v>
      </c>
      <c r="D176" s="8">
        <v>0.02169715631552054</v>
      </c>
      <c r="E176" s="8">
        <v>0.7289597988128662</v>
      </c>
      <c r="F176" s="8">
        <v>0.7289950251579285</v>
      </c>
      <c r="G176" s="8">
        <v>0.728977382183075</v>
      </c>
      <c r="H176" s="8">
        <v>0.3567874911158494</v>
      </c>
      <c r="I176" s="8">
        <v>0.09537366548042704</v>
      </c>
      <c r="J176" s="8">
        <v>0.16062544420753375</v>
      </c>
      <c r="K176" s="8">
        <v>0.21321961620469082</v>
      </c>
      <c r="L176" s="8">
        <v>0.8271334767341614</v>
      </c>
      <c r="M176" s="8">
        <v>1.0</v>
      </c>
      <c r="N176" s="8">
        <v>0.8271334767341614</v>
      </c>
      <c r="O176" s="8">
        <v>1.0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</row>
    <row r="177" ht="15.75" customHeight="1">
      <c r="A177" s="10" t="s">
        <v>56</v>
      </c>
      <c r="B177" s="10" t="s">
        <v>16</v>
      </c>
      <c r="C177" s="10" t="s">
        <v>43</v>
      </c>
      <c r="D177" s="11">
        <v>0.02109859940844629</v>
      </c>
      <c r="E177" s="11">
        <v>0.721277117729187</v>
      </c>
      <c r="F177" s="11">
        <v>0.7057843208312988</v>
      </c>
      <c r="G177" s="11">
        <v>0.7134466767311096</v>
      </c>
      <c r="H177" s="11">
        <v>0.34609720176730485</v>
      </c>
      <c r="I177" s="11">
        <v>0.08112094395280235</v>
      </c>
      <c r="J177" s="11">
        <v>0.1487481590574374</v>
      </c>
      <c r="K177" s="11">
        <v>0.20913107511045656</v>
      </c>
      <c r="L177" s="11">
        <v>0.8271334767341614</v>
      </c>
      <c r="M177" s="11">
        <v>0.5211315751075745</v>
      </c>
      <c r="N177" s="11">
        <v>0.8271334767341614</v>
      </c>
      <c r="O177" s="11">
        <v>0.5211315751075745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</row>
    <row r="178" ht="15.75" customHeight="1">
      <c r="A178" s="7" t="s">
        <v>57</v>
      </c>
      <c r="B178" s="7" t="s">
        <v>16</v>
      </c>
      <c r="C178" s="7" t="s">
        <v>43</v>
      </c>
      <c r="D178" s="8">
        <v>0.030523359602045323</v>
      </c>
      <c r="E178" s="8">
        <v>0.7329010367393494</v>
      </c>
      <c r="F178" s="8">
        <v>0.7288939952850342</v>
      </c>
      <c r="G178" s="8">
        <v>0.73089200258255</v>
      </c>
      <c r="H178" s="8">
        <v>0.3911042944785276</v>
      </c>
      <c r="I178" s="8">
        <v>0.11213517665130568</v>
      </c>
      <c r="J178" s="8">
        <v>0.17024539877300615</v>
      </c>
      <c r="K178" s="8">
        <v>0.22852760736196318</v>
      </c>
      <c r="L178" s="8">
        <v>0.8271334767341614</v>
      </c>
      <c r="M178" s="8">
        <v>0.8271334767341614</v>
      </c>
      <c r="N178" s="8">
        <v>0.8271334767341614</v>
      </c>
      <c r="O178" s="8">
        <v>0.8271334767341614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</row>
    <row r="179" ht="15.75" customHeight="1">
      <c r="A179" s="10" t="s">
        <v>58</v>
      </c>
      <c r="B179" s="10" t="s">
        <v>16</v>
      </c>
      <c r="C179" s="10" t="s">
        <v>43</v>
      </c>
      <c r="D179" s="11">
        <v>0.01927535405296788</v>
      </c>
      <c r="E179" s="11">
        <v>0.727728545665741</v>
      </c>
      <c r="F179" s="11">
        <v>0.7264883518218994</v>
      </c>
      <c r="G179" s="11">
        <v>0.7271078824996948</v>
      </c>
      <c r="H179" s="11">
        <v>0.3782866836301951</v>
      </c>
      <c r="I179" s="11">
        <v>0.08496176720475786</v>
      </c>
      <c r="J179" s="11">
        <v>0.1611535199321459</v>
      </c>
      <c r="K179" s="11">
        <v>0.22561492790500426</v>
      </c>
      <c r="L179" s="11">
        <v>0.8271334767341614</v>
      </c>
      <c r="M179" s="11">
        <v>0.8271334767341614</v>
      </c>
      <c r="N179" s="11">
        <v>0.8271334767341614</v>
      </c>
      <c r="O179" s="11">
        <v>0.8271334767341614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</row>
    <row r="180" ht="15.75" customHeight="1">
      <c r="A180" s="7" t="s">
        <v>59</v>
      </c>
      <c r="B180" s="7" t="s">
        <v>16</v>
      </c>
      <c r="C180" s="7" t="s">
        <v>43</v>
      </c>
      <c r="D180" s="8">
        <v>0.026282073263141113</v>
      </c>
      <c r="E180" s="8">
        <v>0.7215042114257812</v>
      </c>
      <c r="F180" s="8">
        <v>0.7207000851631165</v>
      </c>
      <c r="G180" s="8">
        <v>0.7211019396781921</v>
      </c>
      <c r="H180" s="8">
        <v>0.385499557913351</v>
      </c>
      <c r="I180" s="8">
        <v>0.08857395925597875</v>
      </c>
      <c r="J180" s="8">
        <v>0.16799292661361628</v>
      </c>
      <c r="K180" s="8">
        <v>0.23519009725906276</v>
      </c>
      <c r="L180" s="8">
        <v>0.8271334767341614</v>
      </c>
      <c r="M180" s="8">
        <v>0.8271334767341614</v>
      </c>
      <c r="N180" s="8">
        <v>0.8271334767341614</v>
      </c>
      <c r="O180" s="8">
        <v>0.8271334767341614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</row>
    <row r="181" ht="15.75" customHeight="1">
      <c r="A181" s="10" t="s">
        <v>60</v>
      </c>
      <c r="B181" s="10" t="s">
        <v>16</v>
      </c>
      <c r="C181" s="10" t="s">
        <v>43</v>
      </c>
      <c r="D181" s="11">
        <v>0.0316670195303448</v>
      </c>
      <c r="E181" s="11">
        <v>0.7339168787002563</v>
      </c>
      <c r="F181" s="11">
        <v>0.7219101786613464</v>
      </c>
      <c r="G181" s="11">
        <v>0.7278640270233154</v>
      </c>
      <c r="H181" s="11">
        <v>0.4262295081967213</v>
      </c>
      <c r="I181" s="11">
        <v>0.11330049261083745</v>
      </c>
      <c r="J181" s="11">
        <v>0.1672131147540984</v>
      </c>
      <c r="K181" s="11">
        <v>0.2540983606557377</v>
      </c>
      <c r="L181" s="11">
        <v>0.8271334767341614</v>
      </c>
      <c r="M181" s="11">
        <v>0.8271334767341614</v>
      </c>
      <c r="N181" s="11">
        <v>0.8271334767341614</v>
      </c>
      <c r="O181" s="11">
        <v>0.8271334767341614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</row>
    <row r="182" ht="15.75" customHeight="1">
      <c r="A182" s="7" t="s">
        <v>15</v>
      </c>
      <c r="B182" s="7" t="s">
        <v>16</v>
      </c>
      <c r="C182" s="7" t="s">
        <v>47</v>
      </c>
      <c r="D182" s="8">
        <v>0.04927634657680021</v>
      </c>
      <c r="E182" s="8">
        <v>0.752001941204071</v>
      </c>
      <c r="F182" s="8">
        <v>0.7410843372344971</v>
      </c>
      <c r="G182" s="8">
        <v>0.7465032339096069</v>
      </c>
      <c r="H182" s="8">
        <v>0.414651002073255</v>
      </c>
      <c r="I182" s="8">
        <v>0.1217993079584775</v>
      </c>
      <c r="J182" s="8">
        <v>0.1741534208707671</v>
      </c>
      <c r="K182" s="8">
        <v>0.2543192812715964</v>
      </c>
      <c r="L182" s="8">
        <v>0.0</v>
      </c>
      <c r="M182" s="8">
        <v>0.0</v>
      </c>
      <c r="N182" s="8">
        <v>0.9999999403953552</v>
      </c>
      <c r="O182" s="8">
        <v>0.8271334767341614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</row>
    <row r="183" ht="15.75" customHeight="1">
      <c r="A183" s="10" t="s">
        <v>56</v>
      </c>
      <c r="B183" s="10" t="s">
        <v>16</v>
      </c>
      <c r="C183" s="10" t="s">
        <v>47</v>
      </c>
      <c r="D183" s="11">
        <v>0.020319523921863848</v>
      </c>
      <c r="E183" s="11">
        <v>0.7295830845832825</v>
      </c>
      <c r="F183" s="11">
        <v>0.7075185775756836</v>
      </c>
      <c r="G183" s="11">
        <v>0.7183814644813538</v>
      </c>
      <c r="H183" s="11">
        <v>0.37625178826895567</v>
      </c>
      <c r="I183" s="11">
        <v>0.08739255014326647</v>
      </c>
      <c r="J183" s="11">
        <v>0.17167381974248927</v>
      </c>
      <c r="K183" s="11">
        <v>0.22603719599427755</v>
      </c>
      <c r="L183" s="11">
        <v>0.0</v>
      </c>
      <c r="M183" s="11">
        <v>0.0</v>
      </c>
      <c r="N183" s="11">
        <v>0.9999999403953552</v>
      </c>
      <c r="O183" s="11">
        <v>0.5545380711555481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</row>
    <row r="184" ht="15.75" customHeight="1">
      <c r="A184" s="7" t="s">
        <v>57</v>
      </c>
      <c r="B184" s="7" t="s">
        <v>16</v>
      </c>
      <c r="C184" s="7" t="s">
        <v>47</v>
      </c>
      <c r="D184" s="8">
        <v>0.06080253054055</v>
      </c>
      <c r="E184" s="8">
        <v>0.7512557506561279</v>
      </c>
      <c r="F184" s="8">
        <v>0.7407039403915405</v>
      </c>
      <c r="G184" s="8">
        <v>0.7459425330162048</v>
      </c>
      <c r="H184" s="8">
        <v>0.41517857142857145</v>
      </c>
      <c r="I184" s="8">
        <v>0.10879284649776452</v>
      </c>
      <c r="J184" s="8">
        <v>0.19196428571428573</v>
      </c>
      <c r="K184" s="8">
        <v>0.255952380952381</v>
      </c>
      <c r="L184" s="8">
        <v>0.0</v>
      </c>
      <c r="M184" s="8">
        <v>0.0</v>
      </c>
      <c r="N184" s="8">
        <v>0.9999999403953552</v>
      </c>
      <c r="O184" s="8">
        <v>0.9999999403953552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</row>
    <row r="185" ht="15.75" customHeight="1">
      <c r="A185" s="10" t="s">
        <v>58</v>
      </c>
      <c r="B185" s="10" t="s">
        <v>16</v>
      </c>
      <c r="C185" s="10" t="s">
        <v>47</v>
      </c>
      <c r="D185" s="11">
        <v>0.051575873727971774</v>
      </c>
      <c r="E185" s="11">
        <v>0.7387041449546814</v>
      </c>
      <c r="F185" s="11">
        <v>0.7268922328948975</v>
      </c>
      <c r="G185" s="11">
        <v>0.7327505350112915</v>
      </c>
      <c r="H185" s="11">
        <v>0.4380639868744873</v>
      </c>
      <c r="I185" s="11">
        <v>0.10353327855382088</v>
      </c>
      <c r="J185" s="11">
        <v>0.17391304347826086</v>
      </c>
      <c r="K185" s="11">
        <v>0.25594749794913857</v>
      </c>
      <c r="L185" s="11">
        <v>0.0</v>
      </c>
      <c r="M185" s="11">
        <v>0.0</v>
      </c>
      <c r="N185" s="11">
        <v>0.9999999403953552</v>
      </c>
      <c r="O185" s="11">
        <v>0.9999999403953552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</row>
    <row r="186" ht="15.75" customHeight="1">
      <c r="A186" s="7" t="s">
        <v>59</v>
      </c>
      <c r="B186" s="7" t="s">
        <v>16</v>
      </c>
      <c r="C186" s="7" t="s">
        <v>47</v>
      </c>
      <c r="D186" s="8">
        <v>0.05948774063831823</v>
      </c>
      <c r="E186" s="8">
        <v>0.749173641204834</v>
      </c>
      <c r="F186" s="8">
        <v>0.7357031106948853</v>
      </c>
      <c r="G186" s="8">
        <v>0.7423772811889648</v>
      </c>
      <c r="H186" s="8">
        <v>0.4372331340734415</v>
      </c>
      <c r="I186" s="8">
        <v>0.10265183917878529</v>
      </c>
      <c r="J186" s="8">
        <v>0.1861656703672075</v>
      </c>
      <c r="K186" s="8">
        <v>0.26131511528608026</v>
      </c>
      <c r="L186" s="8">
        <v>0.0</v>
      </c>
      <c r="M186" s="8">
        <v>0.0</v>
      </c>
      <c r="N186" s="8">
        <v>0.9999999403953552</v>
      </c>
      <c r="O186" s="8">
        <v>0.9999999403953552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</row>
    <row r="187" ht="15.75" customHeight="1">
      <c r="A187" s="10" t="s">
        <v>60</v>
      </c>
      <c r="B187" s="10" t="s">
        <v>16</v>
      </c>
      <c r="C187" s="10" t="s">
        <v>47</v>
      </c>
      <c r="D187" s="11">
        <v>0.04075326844263426</v>
      </c>
      <c r="E187" s="11">
        <v>0.7376173734664917</v>
      </c>
      <c r="F187" s="11">
        <v>0.7148326635360718</v>
      </c>
      <c r="G187" s="11">
        <v>0.7260463237762451</v>
      </c>
      <c r="H187" s="11">
        <v>0.446031746031746</v>
      </c>
      <c r="I187" s="11">
        <v>0.10492845786963434</v>
      </c>
      <c r="J187" s="11">
        <v>0.17936507936507937</v>
      </c>
      <c r="K187" s="11">
        <v>0.26825396825396824</v>
      </c>
      <c r="L187" s="11">
        <v>0.0</v>
      </c>
      <c r="M187" s="11">
        <v>0.0</v>
      </c>
      <c r="N187" s="11">
        <v>0.9999999403953552</v>
      </c>
      <c r="O187" s="11">
        <v>0.9999999403953552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</row>
    <row r="188" ht="15.75" customHeight="1">
      <c r="A188" s="7" t="s">
        <v>15</v>
      </c>
      <c r="B188" s="7" t="s">
        <v>16</v>
      </c>
      <c r="C188" s="7" t="s">
        <v>48</v>
      </c>
      <c r="D188" s="8">
        <v>0.04279760114762449</v>
      </c>
      <c r="E188" s="8">
        <v>0.7547094821929932</v>
      </c>
      <c r="F188" s="8">
        <v>0.7522220611572266</v>
      </c>
      <c r="G188" s="8">
        <v>0.7534637451171875</v>
      </c>
      <c r="H188" s="8">
        <v>0.390591589451176</v>
      </c>
      <c r="I188" s="8">
        <v>0.11848679514632406</v>
      </c>
      <c r="J188" s="8">
        <v>0.16963649322879545</v>
      </c>
      <c r="K188" s="8">
        <v>0.23948681397006416</v>
      </c>
      <c r="L188" s="8">
        <v>0.7023138999938965</v>
      </c>
      <c r="M188" s="8">
        <v>0.6929934024810791</v>
      </c>
      <c r="N188" s="8">
        <v>0.7023138999938965</v>
      </c>
      <c r="O188" s="8">
        <v>0.6929934024810791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</row>
    <row r="189" ht="15.75" customHeight="1">
      <c r="A189" s="10" t="s">
        <v>56</v>
      </c>
      <c r="B189" s="10" t="s">
        <v>16</v>
      </c>
      <c r="C189" s="10" t="s">
        <v>48</v>
      </c>
      <c r="D189" s="11">
        <v>0.032264429435974185</v>
      </c>
      <c r="E189" s="11">
        <v>0.7390693426132202</v>
      </c>
      <c r="F189" s="11">
        <v>0.716193675994873</v>
      </c>
      <c r="G189" s="11">
        <v>0.7274516820907593</v>
      </c>
      <c r="H189" s="11">
        <v>0.3648449039881832</v>
      </c>
      <c r="I189" s="11">
        <v>0.10502958579881658</v>
      </c>
      <c r="J189" s="11">
        <v>0.16100443131462333</v>
      </c>
      <c r="K189" s="11">
        <v>0.22895125553914328</v>
      </c>
      <c r="L189" s="11">
        <v>0.7023138999938965</v>
      </c>
      <c r="M189" s="11">
        <v>0.6429824233055115</v>
      </c>
      <c r="N189" s="11">
        <v>0.7023138999938965</v>
      </c>
      <c r="O189" s="11">
        <v>0.6429824233055115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</row>
    <row r="190" ht="15.75" customHeight="1">
      <c r="A190" s="7" t="s">
        <v>57</v>
      </c>
      <c r="B190" s="7" t="s">
        <v>16</v>
      </c>
      <c r="C190" s="7" t="s">
        <v>48</v>
      </c>
      <c r="D190" s="8">
        <v>0.05447036742109632</v>
      </c>
      <c r="E190" s="8">
        <v>0.7528306245803833</v>
      </c>
      <c r="F190" s="8">
        <v>0.7436785697937012</v>
      </c>
      <c r="G190" s="8">
        <v>0.7482265830039978</v>
      </c>
      <c r="H190" s="8">
        <v>0.39692307692307693</v>
      </c>
      <c r="I190" s="8">
        <v>0.10939907550077041</v>
      </c>
      <c r="J190" s="8">
        <v>0.17538461538461536</v>
      </c>
      <c r="K190" s="8">
        <v>0.24461538461538462</v>
      </c>
      <c r="L190" s="8">
        <v>0.7023138999938965</v>
      </c>
      <c r="M190" s="8">
        <v>0.7023138999938965</v>
      </c>
      <c r="N190" s="8">
        <v>0.7023138999938965</v>
      </c>
      <c r="O190" s="8">
        <v>0.7023138999938965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</row>
    <row r="191" ht="15.75" customHeight="1">
      <c r="A191" s="10" t="s">
        <v>58</v>
      </c>
      <c r="B191" s="10" t="s">
        <v>16</v>
      </c>
      <c r="C191" s="10" t="s">
        <v>48</v>
      </c>
      <c r="D191" s="11">
        <v>0.05430985408982245</v>
      </c>
      <c r="E191" s="11">
        <v>0.7329349517822266</v>
      </c>
      <c r="F191" s="11">
        <v>0.727961003780365</v>
      </c>
      <c r="G191" s="11">
        <v>0.7304394841194153</v>
      </c>
      <c r="H191" s="11">
        <v>0.3948936170212766</v>
      </c>
      <c r="I191" s="11">
        <v>0.09718670076726342</v>
      </c>
      <c r="J191" s="11">
        <v>0.17021276595744683</v>
      </c>
      <c r="K191" s="11">
        <v>0.25531914893617025</v>
      </c>
      <c r="L191" s="11">
        <v>0.7023138999938965</v>
      </c>
      <c r="M191" s="11">
        <v>0.7023138999938965</v>
      </c>
      <c r="N191" s="11">
        <v>0.7023138999938965</v>
      </c>
      <c r="O191" s="11">
        <v>0.7023138999938965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</row>
    <row r="192" ht="15.75" customHeight="1">
      <c r="A192" s="7" t="s">
        <v>59</v>
      </c>
      <c r="B192" s="7" t="s">
        <v>16</v>
      </c>
      <c r="C192" s="7" t="s">
        <v>48</v>
      </c>
      <c r="D192" s="8">
        <v>0.0635827629706633</v>
      </c>
      <c r="E192" s="8">
        <v>0.735614538192749</v>
      </c>
      <c r="F192" s="8">
        <v>0.7281814813613892</v>
      </c>
      <c r="G192" s="8">
        <v>0.7318791151046753</v>
      </c>
      <c r="H192" s="8">
        <v>0.40993788819875776</v>
      </c>
      <c r="I192" s="8">
        <v>0.11022222222222222</v>
      </c>
      <c r="J192" s="8">
        <v>0.1739130434782609</v>
      </c>
      <c r="K192" s="8">
        <v>0.2573203194321207</v>
      </c>
      <c r="L192" s="8">
        <v>0.7023138999938965</v>
      </c>
      <c r="M192" s="8">
        <v>0.7023138999938965</v>
      </c>
      <c r="N192" s="8">
        <v>0.7023138999938965</v>
      </c>
      <c r="O192" s="8">
        <v>0.7023138999938965</v>
      </c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</row>
    <row r="193" ht="15.75" customHeight="1">
      <c r="A193" s="10" t="s">
        <v>60</v>
      </c>
      <c r="B193" s="10" t="s">
        <v>16</v>
      </c>
      <c r="C193" s="10" t="s">
        <v>48</v>
      </c>
      <c r="D193" s="11">
        <v>0.05691796562637647</v>
      </c>
      <c r="E193" s="11">
        <v>0.7429253458976746</v>
      </c>
      <c r="F193" s="11">
        <v>0.7201639413833618</v>
      </c>
      <c r="G193" s="11">
        <v>0.7313675880432129</v>
      </c>
      <c r="H193" s="11">
        <v>0.444078947368421</v>
      </c>
      <c r="I193" s="11">
        <v>0.1301482701812191</v>
      </c>
      <c r="J193" s="11">
        <v>0.18421052631578946</v>
      </c>
      <c r="K193" s="11">
        <v>0.2631578947368421</v>
      </c>
      <c r="L193" s="11">
        <v>0.7023138999938965</v>
      </c>
      <c r="M193" s="11">
        <v>0.7023138999938965</v>
      </c>
      <c r="N193" s="11">
        <v>0.7023138999938965</v>
      </c>
      <c r="O193" s="11">
        <v>0.7023138999938965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</row>
    <row r="194" ht="15.75" customHeight="1">
      <c r="A194" s="7" t="s">
        <v>15</v>
      </c>
      <c r="B194" s="7" t="s">
        <v>16</v>
      </c>
      <c r="C194" s="7" t="s">
        <v>49</v>
      </c>
      <c r="D194" s="8">
        <v>0.034798505049129895</v>
      </c>
      <c r="E194" s="8">
        <v>0.7544933557510376</v>
      </c>
      <c r="F194" s="8">
        <v>0.7467182874679565</v>
      </c>
      <c r="G194" s="8">
        <v>0.7505857348442078</v>
      </c>
      <c r="H194" s="8">
        <v>0.3994232155731795</v>
      </c>
      <c r="I194" s="8">
        <v>0.12851985559566786</v>
      </c>
      <c r="J194" s="8">
        <v>0.16438356164383564</v>
      </c>
      <c r="K194" s="8">
        <v>0.23071377072819033</v>
      </c>
      <c r="L194" s="8">
        <v>0.0</v>
      </c>
      <c r="M194" s="8">
        <v>0.0</v>
      </c>
      <c r="N194" s="8">
        <v>0.9999999403953552</v>
      </c>
      <c r="O194" s="8">
        <v>0.8271334767341614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</row>
    <row r="195" ht="15.75" customHeight="1">
      <c r="A195" s="10" t="s">
        <v>56</v>
      </c>
      <c r="B195" s="10" t="s">
        <v>16</v>
      </c>
      <c r="C195" s="10" t="s">
        <v>49</v>
      </c>
      <c r="D195" s="11">
        <v>0.018762652749998415</v>
      </c>
      <c r="E195" s="11">
        <v>0.7348492741584778</v>
      </c>
      <c r="F195" s="11">
        <v>0.7147728800773621</v>
      </c>
      <c r="G195" s="11">
        <v>0.7246720194816589</v>
      </c>
      <c r="H195" s="11">
        <v>0.3721973094170404</v>
      </c>
      <c r="I195" s="11">
        <v>0.08532934131736526</v>
      </c>
      <c r="J195" s="11">
        <v>0.16442451420029897</v>
      </c>
      <c r="K195" s="11">
        <v>0.21225710014947682</v>
      </c>
      <c r="L195" s="11">
        <v>0.0</v>
      </c>
      <c r="M195" s="11">
        <v>0.0</v>
      </c>
      <c r="N195" s="11">
        <v>0.9999999403953552</v>
      </c>
      <c r="O195" s="11">
        <v>0.5545380711555481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</row>
    <row r="196" ht="15.75" customHeight="1">
      <c r="A196" s="7" t="s">
        <v>57</v>
      </c>
      <c r="B196" s="7" t="s">
        <v>16</v>
      </c>
      <c r="C196" s="7" t="s">
        <v>49</v>
      </c>
      <c r="D196" s="8">
        <v>0.04261617895215075</v>
      </c>
      <c r="E196" s="8">
        <v>0.7582002282142639</v>
      </c>
      <c r="F196" s="8">
        <v>0.7454233169555664</v>
      </c>
      <c r="G196" s="8">
        <v>0.7517575025558472</v>
      </c>
      <c r="H196" s="8">
        <v>0.3956386292834891</v>
      </c>
      <c r="I196" s="8">
        <v>0.10452418096723869</v>
      </c>
      <c r="J196" s="8">
        <v>0.17757009345794392</v>
      </c>
      <c r="K196" s="8">
        <v>0.235202492211838</v>
      </c>
      <c r="L196" s="8">
        <v>0.0</v>
      </c>
      <c r="M196" s="8">
        <v>0.0</v>
      </c>
      <c r="N196" s="8">
        <v>0.9999999403953552</v>
      </c>
      <c r="O196" s="8">
        <v>0.9999999403953552</v>
      </c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</row>
    <row r="197" ht="15.75" customHeight="1">
      <c r="A197" s="10" t="s">
        <v>58</v>
      </c>
      <c r="B197" s="10" t="s">
        <v>16</v>
      </c>
      <c r="C197" s="10" t="s">
        <v>49</v>
      </c>
      <c r="D197" s="11">
        <v>0.038824674078436004</v>
      </c>
      <c r="E197" s="11">
        <v>0.7330286502838135</v>
      </c>
      <c r="F197" s="11">
        <v>0.7313975095748901</v>
      </c>
      <c r="G197" s="11">
        <v>0.7322121262550354</v>
      </c>
      <c r="H197" s="11">
        <v>0.40034512510785164</v>
      </c>
      <c r="I197" s="11">
        <v>0.09334485738980121</v>
      </c>
      <c r="J197" s="11">
        <v>0.16911130284728215</v>
      </c>
      <c r="K197" s="11">
        <v>0.2312338222605695</v>
      </c>
      <c r="L197" s="11">
        <v>0.0</v>
      </c>
      <c r="M197" s="11">
        <v>0.0</v>
      </c>
      <c r="N197" s="11">
        <v>0.9999999403953552</v>
      </c>
      <c r="O197" s="11">
        <v>0.9999999403953552</v>
      </c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</row>
    <row r="198" ht="15.75" customHeight="1">
      <c r="A198" s="7" t="s">
        <v>59</v>
      </c>
      <c r="B198" s="7" t="s">
        <v>16</v>
      </c>
      <c r="C198" s="7" t="s">
        <v>49</v>
      </c>
      <c r="D198" s="8">
        <v>0.040839188435604974</v>
      </c>
      <c r="E198" s="8">
        <v>0.7379607558250427</v>
      </c>
      <c r="F198" s="8">
        <v>0.7248634099960327</v>
      </c>
      <c r="G198" s="8">
        <v>0.7313534617424011</v>
      </c>
      <c r="H198" s="8">
        <v>0.39243924392439244</v>
      </c>
      <c r="I198" s="8">
        <v>0.07935076645626692</v>
      </c>
      <c r="J198" s="8">
        <v>0.16741674167416742</v>
      </c>
      <c r="K198" s="8">
        <v>0.21422142214221424</v>
      </c>
      <c r="L198" s="8">
        <v>0.0</v>
      </c>
      <c r="M198" s="8">
        <v>0.0</v>
      </c>
      <c r="N198" s="8">
        <v>0.9999999403953552</v>
      </c>
      <c r="O198" s="8">
        <v>0.9999999403953552</v>
      </c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</row>
    <row r="199" ht="15.75" customHeight="1">
      <c r="A199" s="10" t="s">
        <v>60</v>
      </c>
      <c r="B199" s="10" t="s">
        <v>16</v>
      </c>
      <c r="C199" s="10" t="s">
        <v>49</v>
      </c>
      <c r="D199" s="11">
        <v>0.04204422280549006</v>
      </c>
      <c r="E199" s="11">
        <v>0.7448868751525879</v>
      </c>
      <c r="F199" s="11">
        <v>0.7149165272712708</v>
      </c>
      <c r="G199" s="11">
        <v>0.7295940518379211</v>
      </c>
      <c r="H199" s="11">
        <v>0.42500000000000004</v>
      </c>
      <c r="I199" s="11">
        <v>0.1001669449081803</v>
      </c>
      <c r="J199" s="11">
        <v>0.17500000000000002</v>
      </c>
      <c r="K199" s="11">
        <v>0.22999999999999995</v>
      </c>
      <c r="L199" s="11">
        <v>0.0</v>
      </c>
      <c r="M199" s="11">
        <v>0.0</v>
      </c>
      <c r="N199" s="11">
        <v>0.9999999403953552</v>
      </c>
      <c r="O199" s="11">
        <v>0.9999999403953552</v>
      </c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</row>
    <row r="200" ht="15.75" customHeight="1">
      <c r="A200" s="7" t="s">
        <v>15</v>
      </c>
      <c r="B200" s="7" t="s">
        <v>16</v>
      </c>
      <c r="C200" s="7" t="s">
        <v>50</v>
      </c>
      <c r="D200" s="8">
        <v>0.015387035005944625</v>
      </c>
      <c r="E200" s="8">
        <v>0.6696248054504395</v>
      </c>
      <c r="F200" s="8">
        <v>0.6553096175193787</v>
      </c>
      <c r="G200" s="8">
        <v>0.6623898148536682</v>
      </c>
      <c r="H200" s="8">
        <v>0.3211446740858505</v>
      </c>
      <c r="I200" s="8">
        <v>0.10191082802547771</v>
      </c>
      <c r="J200" s="8">
        <v>0.15739268680445148</v>
      </c>
      <c r="K200" s="8">
        <v>0.1669316375198728</v>
      </c>
      <c r="L200" s="8">
        <v>0.0</v>
      </c>
      <c r="M200" s="8">
        <v>0.0</v>
      </c>
      <c r="N200" s="8">
        <v>0.8277580142021179</v>
      </c>
      <c r="O200" s="8">
        <v>0.8464414477348328</v>
      </c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</row>
    <row r="201" ht="15.75" customHeight="1">
      <c r="A201" s="10" t="s">
        <v>56</v>
      </c>
      <c r="B201" s="10" t="s">
        <v>16</v>
      </c>
      <c r="C201" s="10" t="s">
        <v>50</v>
      </c>
      <c r="D201" s="11">
        <v>0.0</v>
      </c>
      <c r="E201" s="11">
        <v>0.6503878831863403</v>
      </c>
      <c r="F201" s="11">
        <v>0.6301312446594238</v>
      </c>
      <c r="G201" s="11">
        <v>0.6400993466377258</v>
      </c>
      <c r="H201" s="11">
        <v>0.30769230769230765</v>
      </c>
      <c r="I201" s="11">
        <v>0.07787903893951946</v>
      </c>
      <c r="J201" s="11">
        <v>0.15053763440860216</v>
      </c>
      <c r="K201" s="11">
        <v>0.2001654259718776</v>
      </c>
      <c r="L201" s="11">
        <v>0.0</v>
      </c>
      <c r="M201" s="11">
        <v>0.0</v>
      </c>
      <c r="N201" s="11">
        <v>0.8277580142021179</v>
      </c>
      <c r="O201" s="11">
        <v>0.5672008395195007</v>
      </c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</row>
    <row r="202" ht="15.75" customHeight="1">
      <c r="A202" s="7" t="s">
        <v>57</v>
      </c>
      <c r="B202" s="7" t="s">
        <v>16</v>
      </c>
      <c r="C202" s="7" t="s">
        <v>50</v>
      </c>
      <c r="D202" s="8">
        <v>0.0161658676772301</v>
      </c>
      <c r="E202" s="8">
        <v>0.6578599214553833</v>
      </c>
      <c r="F202" s="8">
        <v>0.6455150842666626</v>
      </c>
      <c r="G202" s="8">
        <v>0.6516290307044983</v>
      </c>
      <c r="H202" s="8">
        <v>0.3168831168831169</v>
      </c>
      <c r="I202" s="8">
        <v>0.07632263660017345</v>
      </c>
      <c r="J202" s="8">
        <v>0.16623376623376623</v>
      </c>
      <c r="K202" s="8">
        <v>0.17835497835497835</v>
      </c>
      <c r="L202" s="8">
        <v>0.0</v>
      </c>
      <c r="M202" s="8">
        <v>0.0</v>
      </c>
      <c r="N202" s="8">
        <v>0.8277580142021179</v>
      </c>
      <c r="O202" s="8">
        <v>0.8277580142021179</v>
      </c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</row>
    <row r="203" ht="15.75" customHeight="1">
      <c r="A203" s="10" t="s">
        <v>58</v>
      </c>
      <c r="B203" s="10" t="s">
        <v>16</v>
      </c>
      <c r="C203" s="10" t="s">
        <v>50</v>
      </c>
      <c r="D203" s="11">
        <v>0.019183650844715044</v>
      </c>
      <c r="E203" s="11">
        <v>0.6626288890838623</v>
      </c>
      <c r="F203" s="11">
        <v>0.649599552154541</v>
      </c>
      <c r="G203" s="11">
        <v>0.6560495495796204</v>
      </c>
      <c r="H203" s="11">
        <v>0.341747572815534</v>
      </c>
      <c r="I203" s="11">
        <v>0.09727626459143969</v>
      </c>
      <c r="J203" s="11">
        <v>0.170873786407767</v>
      </c>
      <c r="K203" s="11">
        <v>0.18834951456310678</v>
      </c>
      <c r="L203" s="11">
        <v>0.0</v>
      </c>
      <c r="M203" s="11">
        <v>0.0</v>
      </c>
      <c r="N203" s="11">
        <v>0.8277580142021179</v>
      </c>
      <c r="O203" s="11">
        <v>0.8277580142021179</v>
      </c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</row>
    <row r="204" ht="15.75" customHeight="1">
      <c r="A204" s="7" t="s">
        <v>59</v>
      </c>
      <c r="B204" s="7" t="s">
        <v>16</v>
      </c>
      <c r="C204" s="7" t="s">
        <v>50</v>
      </c>
      <c r="D204" s="8">
        <v>0.0</v>
      </c>
      <c r="E204" s="8">
        <v>0.660815954208374</v>
      </c>
      <c r="F204" s="8">
        <v>0.6451398134231567</v>
      </c>
      <c r="G204" s="8">
        <v>0.652883768081665</v>
      </c>
      <c r="H204" s="8">
        <v>0.3564154786150713</v>
      </c>
      <c r="I204" s="8">
        <v>0.0836734693877551</v>
      </c>
      <c r="J204" s="8">
        <v>0.18329938900203668</v>
      </c>
      <c r="K204" s="8">
        <v>0.1934826883910387</v>
      </c>
      <c r="L204" s="8">
        <v>0.0</v>
      </c>
      <c r="M204" s="8">
        <v>0.0</v>
      </c>
      <c r="N204" s="8">
        <v>0.8277580142021179</v>
      </c>
      <c r="O204" s="8">
        <v>0.8277580142021179</v>
      </c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</row>
    <row r="205" ht="15.75" customHeight="1">
      <c r="A205" s="10" t="s">
        <v>60</v>
      </c>
      <c r="B205" s="10" t="s">
        <v>16</v>
      </c>
      <c r="C205" s="10" t="s">
        <v>50</v>
      </c>
      <c r="D205" s="11">
        <v>0.0287270340476645</v>
      </c>
      <c r="E205" s="11">
        <v>0.6616009473800659</v>
      </c>
      <c r="F205" s="11">
        <v>0.6369695067405701</v>
      </c>
      <c r="G205" s="11">
        <v>0.6490516662597656</v>
      </c>
      <c r="H205" s="11">
        <v>0.3865546218487395</v>
      </c>
      <c r="I205" s="11">
        <v>0.1253507951356408</v>
      </c>
      <c r="J205" s="11">
        <v>0.18300653594771243</v>
      </c>
      <c r="K205" s="11">
        <v>0.20728291316526612</v>
      </c>
      <c r="L205" s="11">
        <v>0.0</v>
      </c>
      <c r="M205" s="11">
        <v>0.0</v>
      </c>
      <c r="N205" s="11">
        <v>0.8277580142021179</v>
      </c>
      <c r="O205" s="11">
        <v>0.8277580142021179</v>
      </c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</row>
    <row r="206" ht="15.75" customHeight="1">
      <c r="A206" s="7" t="s">
        <v>15</v>
      </c>
      <c r="B206" s="7" t="s">
        <v>16</v>
      </c>
      <c r="C206" s="7" t="s">
        <v>51</v>
      </c>
      <c r="D206" s="8">
        <v>0.015387035005944625</v>
      </c>
      <c r="E206" s="8">
        <v>0.6696248054504395</v>
      </c>
      <c r="F206" s="8">
        <v>0.6553096175193787</v>
      </c>
      <c r="G206" s="8">
        <v>0.6623898148536682</v>
      </c>
      <c r="H206" s="8">
        <v>0.3211446740858505</v>
      </c>
      <c r="I206" s="8">
        <v>0.10191082802547771</v>
      </c>
      <c r="J206" s="8">
        <v>0.15739268680445148</v>
      </c>
      <c r="K206" s="8">
        <v>0.1669316375198728</v>
      </c>
      <c r="L206" s="8">
        <v>0.0</v>
      </c>
      <c r="M206" s="8">
        <v>0.0</v>
      </c>
      <c r="N206" s="8">
        <v>0.8277580142021179</v>
      </c>
      <c r="O206" s="8">
        <v>0.8464414477348328</v>
      </c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</row>
    <row r="207" ht="15.75" customHeight="1">
      <c r="A207" s="10" t="s">
        <v>56</v>
      </c>
      <c r="B207" s="10" t="s">
        <v>16</v>
      </c>
      <c r="C207" s="10" t="s">
        <v>51</v>
      </c>
      <c r="D207" s="11">
        <v>0.0</v>
      </c>
      <c r="E207" s="11">
        <v>0.6503878831863403</v>
      </c>
      <c r="F207" s="11">
        <v>0.6301312446594238</v>
      </c>
      <c r="G207" s="11">
        <v>0.6400993466377258</v>
      </c>
      <c r="H207" s="11">
        <v>0.30769230769230765</v>
      </c>
      <c r="I207" s="11">
        <v>0.07787903893951946</v>
      </c>
      <c r="J207" s="11">
        <v>0.15053763440860216</v>
      </c>
      <c r="K207" s="11">
        <v>0.2001654259718776</v>
      </c>
      <c r="L207" s="11">
        <v>0.0</v>
      </c>
      <c r="M207" s="11">
        <v>0.0</v>
      </c>
      <c r="N207" s="11">
        <v>0.8277580142021179</v>
      </c>
      <c r="O207" s="11">
        <v>0.5672008395195007</v>
      </c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</row>
    <row r="208" ht="15.75" customHeight="1">
      <c r="A208" s="7" t="s">
        <v>57</v>
      </c>
      <c r="B208" s="7" t="s">
        <v>16</v>
      </c>
      <c r="C208" s="7" t="s">
        <v>51</v>
      </c>
      <c r="D208" s="8">
        <v>0.0161658676772301</v>
      </c>
      <c r="E208" s="8">
        <v>0.6578599214553833</v>
      </c>
      <c r="F208" s="8">
        <v>0.6455150842666626</v>
      </c>
      <c r="G208" s="8">
        <v>0.6516290307044983</v>
      </c>
      <c r="H208" s="8">
        <v>0.3168831168831169</v>
      </c>
      <c r="I208" s="8">
        <v>0.07632263660017345</v>
      </c>
      <c r="J208" s="8">
        <v>0.16623376623376623</v>
      </c>
      <c r="K208" s="8">
        <v>0.17835497835497835</v>
      </c>
      <c r="L208" s="8">
        <v>0.0</v>
      </c>
      <c r="M208" s="8">
        <v>0.0</v>
      </c>
      <c r="N208" s="8">
        <v>0.8277580142021179</v>
      </c>
      <c r="O208" s="8">
        <v>0.8277580142021179</v>
      </c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</row>
    <row r="209" ht="15.75" customHeight="1">
      <c r="A209" s="10" t="s">
        <v>58</v>
      </c>
      <c r="B209" s="10" t="s">
        <v>16</v>
      </c>
      <c r="C209" s="10" t="s">
        <v>51</v>
      </c>
      <c r="D209" s="11">
        <v>0.019183650844715044</v>
      </c>
      <c r="E209" s="11">
        <v>0.6626288890838623</v>
      </c>
      <c r="F209" s="11">
        <v>0.649599552154541</v>
      </c>
      <c r="G209" s="11">
        <v>0.6560495495796204</v>
      </c>
      <c r="H209" s="11">
        <v>0.341747572815534</v>
      </c>
      <c r="I209" s="11">
        <v>0.09727626459143969</v>
      </c>
      <c r="J209" s="11">
        <v>0.170873786407767</v>
      </c>
      <c r="K209" s="11">
        <v>0.18834951456310678</v>
      </c>
      <c r="L209" s="11">
        <v>0.0</v>
      </c>
      <c r="M209" s="11">
        <v>0.0</v>
      </c>
      <c r="N209" s="11">
        <v>0.8277580142021179</v>
      </c>
      <c r="O209" s="11">
        <v>0.8277580142021179</v>
      </c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</row>
    <row r="210" ht="15.75" customHeight="1">
      <c r="A210" s="7" t="s">
        <v>59</v>
      </c>
      <c r="B210" s="7" t="s">
        <v>16</v>
      </c>
      <c r="C210" s="7" t="s">
        <v>51</v>
      </c>
      <c r="D210" s="8">
        <v>0.0</v>
      </c>
      <c r="E210" s="8">
        <v>0.660815954208374</v>
      </c>
      <c r="F210" s="8">
        <v>0.6451398134231567</v>
      </c>
      <c r="G210" s="8">
        <v>0.652883768081665</v>
      </c>
      <c r="H210" s="8">
        <v>0.3564154786150713</v>
      </c>
      <c r="I210" s="8">
        <v>0.0836734693877551</v>
      </c>
      <c r="J210" s="8">
        <v>0.18329938900203668</v>
      </c>
      <c r="K210" s="8">
        <v>0.1934826883910387</v>
      </c>
      <c r="L210" s="8">
        <v>0.0</v>
      </c>
      <c r="M210" s="8">
        <v>0.0</v>
      </c>
      <c r="N210" s="8">
        <v>0.8277580142021179</v>
      </c>
      <c r="O210" s="8">
        <v>0.8277580142021179</v>
      </c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</row>
    <row r="211" ht="15.75" customHeight="1">
      <c r="A211" s="10" t="s">
        <v>60</v>
      </c>
      <c r="B211" s="10" t="s">
        <v>16</v>
      </c>
      <c r="C211" s="10" t="s">
        <v>51</v>
      </c>
      <c r="D211" s="11">
        <v>0.0287270340476645</v>
      </c>
      <c r="E211" s="11">
        <v>0.6616009473800659</v>
      </c>
      <c r="F211" s="11">
        <v>0.6369695067405701</v>
      </c>
      <c r="G211" s="11">
        <v>0.6490516662597656</v>
      </c>
      <c r="H211" s="11">
        <v>0.3865546218487395</v>
      </c>
      <c r="I211" s="11">
        <v>0.1253507951356408</v>
      </c>
      <c r="J211" s="11">
        <v>0.18300653594771243</v>
      </c>
      <c r="K211" s="11">
        <v>0.20728291316526612</v>
      </c>
      <c r="L211" s="11">
        <v>0.0</v>
      </c>
      <c r="M211" s="11">
        <v>0.0</v>
      </c>
      <c r="N211" s="11">
        <v>0.8277580142021179</v>
      </c>
      <c r="O211" s="11">
        <v>0.8277580142021179</v>
      </c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</row>
    <row r="212" ht="15.75" customHeight="1">
      <c r="A212" s="7" t="s">
        <v>15</v>
      </c>
      <c r="B212" s="7" t="s">
        <v>16</v>
      </c>
      <c r="C212" s="7" t="s">
        <v>52</v>
      </c>
      <c r="D212" s="8">
        <v>0.02209940734060961</v>
      </c>
      <c r="E212" s="8">
        <v>0.7434166669845581</v>
      </c>
      <c r="F212" s="8">
        <v>0.7239258885383606</v>
      </c>
      <c r="G212" s="8">
        <v>0.7335417866706848</v>
      </c>
      <c r="H212" s="8">
        <v>0.35752482811306335</v>
      </c>
      <c r="I212" s="8">
        <v>0.10711553175210405</v>
      </c>
      <c r="J212" s="8">
        <v>0.16042780748663102</v>
      </c>
      <c r="K212" s="8">
        <v>0.21237585943468298</v>
      </c>
      <c r="L212" s="8">
        <v>0.0</v>
      </c>
      <c r="M212" s="8">
        <v>0.0</v>
      </c>
      <c r="N212" s="8">
        <v>0.8277580142021179</v>
      </c>
      <c r="O212" s="8">
        <v>0.8464414477348328</v>
      </c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</row>
    <row r="213" ht="15.75" customHeight="1">
      <c r="A213" s="10" t="s">
        <v>56</v>
      </c>
      <c r="B213" s="10" t="s">
        <v>16</v>
      </c>
      <c r="C213" s="10" t="s">
        <v>52</v>
      </c>
      <c r="D213" s="11">
        <v>0.017480168171754976</v>
      </c>
      <c r="E213" s="11">
        <v>0.7443844676017761</v>
      </c>
      <c r="F213" s="11">
        <v>0.7032968997955322</v>
      </c>
      <c r="G213" s="11">
        <v>0.7232575416564941</v>
      </c>
      <c r="H213" s="11">
        <v>0.3380952380952381</v>
      </c>
      <c r="I213" s="11">
        <v>0.09220985691573927</v>
      </c>
      <c r="J213" s="11">
        <v>0.15555555555555559</v>
      </c>
      <c r="K213" s="11">
        <v>0.19999999999999998</v>
      </c>
      <c r="L213" s="11">
        <v>0.0</v>
      </c>
      <c r="M213" s="11">
        <v>0.0</v>
      </c>
      <c r="N213" s="11">
        <v>0.8277580142021179</v>
      </c>
      <c r="O213" s="11">
        <v>0.5672008395195007</v>
      </c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</row>
    <row r="214" ht="15.75" customHeight="1">
      <c r="A214" s="7" t="s">
        <v>57</v>
      </c>
      <c r="B214" s="7" t="s">
        <v>16</v>
      </c>
      <c r="C214" s="7" t="s">
        <v>52</v>
      </c>
      <c r="D214" s="8">
        <v>0.02899039689424811</v>
      </c>
      <c r="E214" s="8">
        <v>0.7465027570724487</v>
      </c>
      <c r="F214" s="8">
        <v>0.7204043865203857</v>
      </c>
      <c r="G214" s="8">
        <v>0.7332214117050171</v>
      </c>
      <c r="H214" s="8">
        <v>0.35655058043117743</v>
      </c>
      <c r="I214" s="8">
        <v>0.10299003322259136</v>
      </c>
      <c r="J214" s="8">
        <v>0.1691542288557214</v>
      </c>
      <c r="K214" s="8">
        <v>0.24378109452736316</v>
      </c>
      <c r="L214" s="8">
        <v>0.0</v>
      </c>
      <c r="M214" s="8">
        <v>0.0</v>
      </c>
      <c r="N214" s="8">
        <v>0.8277580142021179</v>
      </c>
      <c r="O214" s="8">
        <v>0.8277580142021179</v>
      </c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</row>
    <row r="215" ht="15.75" customHeight="1">
      <c r="A215" s="10" t="s">
        <v>58</v>
      </c>
      <c r="B215" s="10" t="s">
        <v>16</v>
      </c>
      <c r="C215" s="10" t="s">
        <v>52</v>
      </c>
      <c r="D215" s="11">
        <v>0.01838355493555009</v>
      </c>
      <c r="E215" s="11">
        <v>0.7364626526832581</v>
      </c>
      <c r="F215" s="11">
        <v>0.7173216938972473</v>
      </c>
      <c r="G215" s="11">
        <v>0.7267661094665527</v>
      </c>
      <c r="H215" s="11">
        <v>0.3774283071230342</v>
      </c>
      <c r="I215" s="11">
        <v>0.09823911028730306</v>
      </c>
      <c r="J215" s="11">
        <v>0.1646623496762257</v>
      </c>
      <c r="K215" s="11">
        <v>0.21646623496762257</v>
      </c>
      <c r="L215" s="11">
        <v>0.0</v>
      </c>
      <c r="M215" s="11">
        <v>0.0</v>
      </c>
      <c r="N215" s="11">
        <v>0.8277580142021179</v>
      </c>
      <c r="O215" s="11">
        <v>0.8277580142021179</v>
      </c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</row>
    <row r="216" ht="15.75" customHeight="1">
      <c r="A216" s="7" t="s">
        <v>59</v>
      </c>
      <c r="B216" s="7" t="s">
        <v>16</v>
      </c>
      <c r="C216" s="7" t="s">
        <v>52</v>
      </c>
      <c r="D216" s="8">
        <v>0.027245269108118298</v>
      </c>
      <c r="E216" s="8">
        <v>0.7449666857719421</v>
      </c>
      <c r="F216" s="8">
        <v>0.7274115085601807</v>
      </c>
      <c r="G216" s="8">
        <v>0.7360844612121582</v>
      </c>
      <c r="H216" s="8">
        <v>0.4143272023233301</v>
      </c>
      <c r="I216" s="8">
        <v>0.1066925315227934</v>
      </c>
      <c r="J216" s="8">
        <v>0.17618586640851888</v>
      </c>
      <c r="K216" s="8">
        <v>0.2362052274927396</v>
      </c>
      <c r="L216" s="8">
        <v>0.0</v>
      </c>
      <c r="M216" s="8">
        <v>0.0</v>
      </c>
      <c r="N216" s="8">
        <v>0.8277580142021179</v>
      </c>
      <c r="O216" s="8">
        <v>0.8277580142021179</v>
      </c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</row>
    <row r="217" ht="15.75" customHeight="1">
      <c r="A217" s="10" t="s">
        <v>60</v>
      </c>
      <c r="B217" s="10" t="s">
        <v>16</v>
      </c>
      <c r="C217" s="10" t="s">
        <v>52</v>
      </c>
      <c r="D217" s="11">
        <v>0.03338654572049209</v>
      </c>
      <c r="E217" s="11">
        <v>0.7460365295410156</v>
      </c>
      <c r="F217" s="11">
        <v>0.7021343111991882</v>
      </c>
      <c r="G217" s="11">
        <v>0.7234199047088623</v>
      </c>
      <c r="H217" s="11">
        <v>0.41354723707664887</v>
      </c>
      <c r="I217" s="11">
        <v>0.14642857142857144</v>
      </c>
      <c r="J217" s="11">
        <v>0.19073083778966132</v>
      </c>
      <c r="K217" s="11">
        <v>0.2549019607843137</v>
      </c>
      <c r="L217" s="11">
        <v>0.0</v>
      </c>
      <c r="M217" s="11">
        <v>0.0</v>
      </c>
      <c r="N217" s="11">
        <v>0.8277580142021179</v>
      </c>
      <c r="O217" s="11">
        <v>0.8277580142021179</v>
      </c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</row>
    <row r="218" ht="15.75" customHeight="1">
      <c r="A218" s="7" t="s">
        <v>15</v>
      </c>
      <c r="B218" s="7" t="s">
        <v>16</v>
      </c>
      <c r="C218" s="7" t="s">
        <v>53</v>
      </c>
      <c r="D218" s="8">
        <v>0.04692241859547186</v>
      </c>
      <c r="E218" s="8">
        <v>0.7507194876670837</v>
      </c>
      <c r="F218" s="8">
        <v>0.7514522075653076</v>
      </c>
      <c r="G218" s="8">
        <v>0.751085638999939</v>
      </c>
      <c r="H218" s="8">
        <v>0.4836775483011326</v>
      </c>
      <c r="I218" s="8">
        <v>0.15743829219479655</v>
      </c>
      <c r="J218" s="8">
        <v>0.19187208527648233</v>
      </c>
      <c r="K218" s="8">
        <v>0.2638241172551632</v>
      </c>
      <c r="L218" s="8">
        <v>0.0</v>
      </c>
      <c r="M218" s="8">
        <v>0.0</v>
      </c>
      <c r="N218" s="8">
        <v>0.9999999403953552</v>
      </c>
      <c r="O218" s="8">
        <v>0.8271334767341614</v>
      </c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</row>
    <row r="219" ht="15.75" customHeight="1">
      <c r="A219" s="10" t="s">
        <v>56</v>
      </c>
      <c r="B219" s="10" t="s">
        <v>16</v>
      </c>
      <c r="C219" s="10" t="s">
        <v>53</v>
      </c>
      <c r="D219" s="11">
        <v>0.03526418482198639</v>
      </c>
      <c r="E219" s="11">
        <v>0.7433568835258484</v>
      </c>
      <c r="F219" s="11">
        <v>0.7222908139228821</v>
      </c>
      <c r="G219" s="11">
        <v>0.7326724529266357</v>
      </c>
      <c r="H219" s="11">
        <v>0.44490358126721763</v>
      </c>
      <c r="I219" s="11">
        <v>0.12551724137931033</v>
      </c>
      <c r="J219" s="11">
        <v>0.18181818181818182</v>
      </c>
      <c r="K219" s="11">
        <v>0.24517906336088155</v>
      </c>
      <c r="L219" s="11">
        <v>0.0</v>
      </c>
      <c r="M219" s="11">
        <v>0.0</v>
      </c>
      <c r="N219" s="11">
        <v>0.9999999403953552</v>
      </c>
      <c r="O219" s="11">
        <v>0.5545380711555481</v>
      </c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</row>
    <row r="220" ht="15.75" customHeight="1">
      <c r="A220" s="7" t="s">
        <v>57</v>
      </c>
      <c r="B220" s="7" t="s">
        <v>16</v>
      </c>
      <c r="C220" s="7" t="s">
        <v>53</v>
      </c>
      <c r="D220" s="8">
        <v>0.06366114809806997</v>
      </c>
      <c r="E220" s="8">
        <v>0.7653224468231201</v>
      </c>
      <c r="F220" s="8">
        <v>0.7567667365074158</v>
      </c>
      <c r="G220" s="8">
        <v>0.7610205411911011</v>
      </c>
      <c r="H220" s="8">
        <v>0.49785407725321895</v>
      </c>
      <c r="I220" s="8">
        <v>0.15472779369627504</v>
      </c>
      <c r="J220" s="8">
        <v>0.1959942775393419</v>
      </c>
      <c r="K220" s="8">
        <v>0.28469241773962806</v>
      </c>
      <c r="L220" s="8">
        <v>0.0</v>
      </c>
      <c r="M220" s="8">
        <v>0.0</v>
      </c>
      <c r="N220" s="8">
        <v>0.9999999403953552</v>
      </c>
      <c r="O220" s="8">
        <v>0.9999999403953552</v>
      </c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</row>
    <row r="221" ht="15.75" customHeight="1">
      <c r="A221" s="10" t="s">
        <v>58</v>
      </c>
      <c r="B221" s="10" t="s">
        <v>16</v>
      </c>
      <c r="C221" s="10" t="s">
        <v>53</v>
      </c>
      <c r="D221" s="11">
        <v>0.045756942315882315</v>
      </c>
      <c r="E221" s="11">
        <v>0.7309014797210693</v>
      </c>
      <c r="F221" s="11">
        <v>0.728338360786438</v>
      </c>
      <c r="G221" s="11">
        <v>0.7296176552772522</v>
      </c>
      <c r="H221" s="11">
        <v>0.46818538884524746</v>
      </c>
      <c r="I221" s="11">
        <v>0.12903225806451613</v>
      </c>
      <c r="J221" s="11">
        <v>0.18538884524744698</v>
      </c>
      <c r="K221" s="11">
        <v>0.24037706205813042</v>
      </c>
      <c r="L221" s="11">
        <v>0.0</v>
      </c>
      <c r="M221" s="11">
        <v>0.0</v>
      </c>
      <c r="N221" s="11">
        <v>0.9999999403953552</v>
      </c>
      <c r="O221" s="11">
        <v>0.9999999403953552</v>
      </c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</row>
    <row r="222" ht="15.75" customHeight="1">
      <c r="A222" s="7" t="s">
        <v>59</v>
      </c>
      <c r="B222" s="7" t="s">
        <v>16</v>
      </c>
      <c r="C222" s="7" t="s">
        <v>53</v>
      </c>
      <c r="D222" s="8">
        <v>0.06347715110970356</v>
      </c>
      <c r="E222" s="8">
        <v>0.7468788623809814</v>
      </c>
      <c r="F222" s="8">
        <v>0.7413676977157593</v>
      </c>
      <c r="G222" s="8">
        <v>0.7441130876541138</v>
      </c>
      <c r="H222" s="8">
        <v>0.4995918367346939</v>
      </c>
      <c r="I222" s="8">
        <v>0.14881439084219134</v>
      </c>
      <c r="J222" s="8">
        <v>0.20408163265306123</v>
      </c>
      <c r="K222" s="8">
        <v>0.26448979591836735</v>
      </c>
      <c r="L222" s="8">
        <v>0.0</v>
      </c>
      <c r="M222" s="8">
        <v>0.0</v>
      </c>
      <c r="N222" s="8">
        <v>0.9999999403953552</v>
      </c>
      <c r="O222" s="8">
        <v>0.9999999403953552</v>
      </c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</row>
    <row r="223" ht="15.75" customHeight="1">
      <c r="A223" s="10" t="s">
        <v>60</v>
      </c>
      <c r="B223" s="10" t="s">
        <v>16</v>
      </c>
      <c r="C223" s="10" t="s">
        <v>53</v>
      </c>
      <c r="D223" s="11">
        <v>0.06159405278311326</v>
      </c>
      <c r="E223" s="11">
        <v>0.7569851279258728</v>
      </c>
      <c r="F223" s="11">
        <v>0.735637903213501</v>
      </c>
      <c r="G223" s="11">
        <v>0.7461588382720947</v>
      </c>
      <c r="H223" s="11">
        <v>0.5266362252663623</v>
      </c>
      <c r="I223" s="11">
        <v>0.19207317073170732</v>
      </c>
      <c r="J223" s="11">
        <v>0.1933028919330289</v>
      </c>
      <c r="K223" s="11">
        <v>0.2785388127853881</v>
      </c>
      <c r="L223" s="11">
        <v>0.0</v>
      </c>
      <c r="M223" s="11">
        <v>0.0</v>
      </c>
      <c r="N223" s="11">
        <v>0.9999999403953552</v>
      </c>
      <c r="O223" s="11">
        <v>0.9999999403953552</v>
      </c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</row>
    <row r="224" ht="15.75" customHeight="1">
      <c r="A224" s="7" t="s">
        <v>15</v>
      </c>
      <c r="B224" s="7" t="s">
        <v>16</v>
      </c>
      <c r="C224" s="7" t="s">
        <v>54</v>
      </c>
      <c r="D224" s="8">
        <v>0.07871670134589397</v>
      </c>
      <c r="E224" s="8">
        <v>0.7515832185745239</v>
      </c>
      <c r="F224" s="8">
        <v>0.7525502443313599</v>
      </c>
      <c r="G224" s="8">
        <v>0.752066433429718</v>
      </c>
      <c r="H224" s="8">
        <v>0.5248651887357699</v>
      </c>
      <c r="I224" s="8">
        <v>0.16916616676664667</v>
      </c>
      <c r="J224" s="8">
        <v>0.18454164170161774</v>
      </c>
      <c r="K224" s="8">
        <v>0.2660275614140204</v>
      </c>
      <c r="L224" s="8">
        <v>0.0</v>
      </c>
      <c r="M224" s="8">
        <v>0.0</v>
      </c>
      <c r="N224" s="8">
        <v>0.9999999403953552</v>
      </c>
      <c r="O224" s="8">
        <v>0.8271334767341614</v>
      </c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</row>
    <row r="225" ht="15.75" customHeight="1">
      <c r="A225" s="10" t="s">
        <v>56</v>
      </c>
      <c r="B225" s="10" t="s">
        <v>16</v>
      </c>
      <c r="C225" s="10" t="s">
        <v>54</v>
      </c>
      <c r="D225" s="11">
        <v>0.03011438082111747</v>
      </c>
      <c r="E225" s="11">
        <v>0.7301548719406128</v>
      </c>
      <c r="F225" s="11">
        <v>0.7119228839874268</v>
      </c>
      <c r="G225" s="11">
        <v>0.7209236025810242</v>
      </c>
      <c r="H225" s="11">
        <v>0.48518518518518516</v>
      </c>
      <c r="I225" s="11">
        <v>0.12484548825710753</v>
      </c>
      <c r="J225" s="11">
        <v>0.18641975308641978</v>
      </c>
      <c r="K225" s="11">
        <v>0.2728395061728395</v>
      </c>
      <c r="L225" s="11">
        <v>0.0</v>
      </c>
      <c r="M225" s="11">
        <v>0.0</v>
      </c>
      <c r="N225" s="11">
        <v>0.9999999403953552</v>
      </c>
      <c r="O225" s="11">
        <v>0.5545380711555481</v>
      </c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</row>
    <row r="226" ht="15.75" customHeight="1">
      <c r="A226" s="7" t="s">
        <v>57</v>
      </c>
      <c r="B226" s="7" t="s">
        <v>16</v>
      </c>
      <c r="C226" s="7" t="s">
        <v>54</v>
      </c>
      <c r="D226" s="8">
        <v>0.09862419683518693</v>
      </c>
      <c r="E226" s="8">
        <v>0.7556792497634888</v>
      </c>
      <c r="F226" s="8">
        <v>0.7525119185447693</v>
      </c>
      <c r="G226" s="8">
        <v>0.754092276096344</v>
      </c>
      <c r="H226" s="8">
        <v>0.528735632183908</v>
      </c>
      <c r="I226" s="8">
        <v>0.159846547314578</v>
      </c>
      <c r="J226" s="8">
        <v>0.19795657726692212</v>
      </c>
      <c r="K226" s="8">
        <v>0.2937420178799489</v>
      </c>
      <c r="L226" s="8">
        <v>0.0</v>
      </c>
      <c r="M226" s="8">
        <v>0.0</v>
      </c>
      <c r="N226" s="8">
        <v>0.9999999403953552</v>
      </c>
      <c r="O226" s="8">
        <v>0.9999999403953552</v>
      </c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</row>
    <row r="227" ht="15.75" customHeight="1">
      <c r="A227" s="10" t="s">
        <v>58</v>
      </c>
      <c r="B227" s="10" t="s">
        <v>16</v>
      </c>
      <c r="C227" s="10" t="s">
        <v>54</v>
      </c>
      <c r="D227" s="11">
        <v>0.0662013337529396</v>
      </c>
      <c r="E227" s="11">
        <v>0.7369204759597778</v>
      </c>
      <c r="F227" s="11">
        <v>0.7343300580978394</v>
      </c>
      <c r="G227" s="11">
        <v>0.7356230020523071</v>
      </c>
      <c r="H227" s="11">
        <v>0.47328244274809156</v>
      </c>
      <c r="I227" s="11">
        <v>0.11952744961779012</v>
      </c>
      <c r="J227" s="11">
        <v>0.18459403192227622</v>
      </c>
      <c r="K227" s="11">
        <v>0.2748091603053435</v>
      </c>
      <c r="L227" s="11">
        <v>0.0</v>
      </c>
      <c r="M227" s="11">
        <v>0.0</v>
      </c>
      <c r="N227" s="11">
        <v>0.9999999403953552</v>
      </c>
      <c r="O227" s="11">
        <v>0.9999999403953552</v>
      </c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</row>
    <row r="228" ht="15.75" customHeight="1">
      <c r="A228" s="7" t="s">
        <v>59</v>
      </c>
      <c r="B228" s="7" t="s">
        <v>16</v>
      </c>
      <c r="C228" s="7" t="s">
        <v>54</v>
      </c>
      <c r="D228" s="8">
        <v>0.07662583224602257</v>
      </c>
      <c r="E228" s="8">
        <v>0.7457675933837891</v>
      </c>
      <c r="F228" s="8">
        <v>0.7422122359275818</v>
      </c>
      <c r="G228" s="8">
        <v>0.7439855933189392</v>
      </c>
      <c r="H228" s="8">
        <v>0.516870064608758</v>
      </c>
      <c r="I228" s="8">
        <v>0.13515456506110712</v>
      </c>
      <c r="J228" s="8">
        <v>0.18951902368987794</v>
      </c>
      <c r="K228" s="8">
        <v>0.2627422828427854</v>
      </c>
      <c r="L228" s="8">
        <v>0.0</v>
      </c>
      <c r="M228" s="8">
        <v>0.0</v>
      </c>
      <c r="N228" s="8">
        <v>0.9999999403953552</v>
      </c>
      <c r="O228" s="8">
        <v>0.9999999403953552</v>
      </c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</row>
    <row r="229" ht="15.75" customHeight="1">
      <c r="A229" s="10" t="s">
        <v>60</v>
      </c>
      <c r="B229" s="10" t="s">
        <v>16</v>
      </c>
      <c r="C229" s="10" t="s">
        <v>54</v>
      </c>
      <c r="D229" s="11">
        <v>0.07140954331261277</v>
      </c>
      <c r="E229" s="11">
        <v>0.7513466477394104</v>
      </c>
      <c r="F229" s="11">
        <v>0.7315009832382202</v>
      </c>
      <c r="G229" s="11">
        <v>0.7412909865379333</v>
      </c>
      <c r="H229" s="11">
        <v>0.5465587044534412</v>
      </c>
      <c r="I229" s="11">
        <v>0.16216216216216214</v>
      </c>
      <c r="J229" s="11">
        <v>0.19433198380566802</v>
      </c>
      <c r="K229" s="11">
        <v>0.27125506072874495</v>
      </c>
      <c r="L229" s="11">
        <v>0.0</v>
      </c>
      <c r="M229" s="11">
        <v>0.0</v>
      </c>
      <c r="N229" s="11">
        <v>0.9999999403953552</v>
      </c>
      <c r="O229" s="11">
        <v>0.9999999403953552</v>
      </c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</row>
    <row r="230" ht="15.75" customHeight="1">
      <c r="A230" s="7" t="s">
        <v>15</v>
      </c>
      <c r="B230" s="7" t="s">
        <v>16</v>
      </c>
      <c r="C230" s="7" t="s">
        <v>55</v>
      </c>
      <c r="D230" s="8">
        <v>0.07654756714766117</v>
      </c>
      <c r="E230" s="8">
        <v>0.7549675703048706</v>
      </c>
      <c r="F230" s="8">
        <v>0.747463583946228</v>
      </c>
      <c r="G230" s="8">
        <v>0.7511968612670898</v>
      </c>
      <c r="H230" s="8">
        <v>0.5019011406844106</v>
      </c>
      <c r="I230" s="8">
        <v>0.16243654822335027</v>
      </c>
      <c r="J230" s="8">
        <v>0.19011406844106463</v>
      </c>
      <c r="K230" s="8">
        <v>0.2801013941698352</v>
      </c>
      <c r="L230" s="8">
        <v>0.0</v>
      </c>
      <c r="M230" s="8">
        <v>0.0</v>
      </c>
      <c r="N230" s="8">
        <v>0.9999999403953552</v>
      </c>
      <c r="O230" s="8">
        <v>0.8271334767341614</v>
      </c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</row>
    <row r="231" ht="15.75" customHeight="1">
      <c r="A231" s="10" t="s">
        <v>56</v>
      </c>
      <c r="B231" s="10" t="s">
        <v>16</v>
      </c>
      <c r="C231" s="10" t="s">
        <v>55</v>
      </c>
      <c r="D231" s="11">
        <v>0.05430975384077286</v>
      </c>
      <c r="E231" s="11">
        <v>0.738656759262085</v>
      </c>
      <c r="F231" s="11">
        <v>0.7175053954124451</v>
      </c>
      <c r="G231" s="11">
        <v>0.7279273867607117</v>
      </c>
      <c r="H231" s="11">
        <v>0.47874427730542835</v>
      </c>
      <c r="I231" s="11">
        <v>0.13097576948264572</v>
      </c>
      <c r="J231" s="11">
        <v>0.19620667102681488</v>
      </c>
      <c r="K231" s="11">
        <v>0.27468933943754087</v>
      </c>
      <c r="L231" s="11">
        <v>0.0</v>
      </c>
      <c r="M231" s="11">
        <v>0.0</v>
      </c>
      <c r="N231" s="11">
        <v>0.9999999403953552</v>
      </c>
      <c r="O231" s="11">
        <v>0.5545380711555481</v>
      </c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</row>
    <row r="232" ht="15.75" customHeight="1">
      <c r="A232" s="7" t="s">
        <v>57</v>
      </c>
      <c r="B232" s="7" t="s">
        <v>16</v>
      </c>
      <c r="C232" s="7" t="s">
        <v>55</v>
      </c>
      <c r="D232" s="8">
        <v>0.0858054420657966</v>
      </c>
      <c r="E232" s="8">
        <v>0.7639603614807129</v>
      </c>
      <c r="F232" s="8">
        <v>0.7532212734222412</v>
      </c>
      <c r="G232" s="8">
        <v>0.7585527896881104</v>
      </c>
      <c r="H232" s="8">
        <v>0.5206779661016949</v>
      </c>
      <c r="I232" s="8">
        <v>0.16429056347589954</v>
      </c>
      <c r="J232" s="8">
        <v>0.21152542372881358</v>
      </c>
      <c r="K232" s="8">
        <v>0.2806779661016949</v>
      </c>
      <c r="L232" s="8">
        <v>0.0</v>
      </c>
      <c r="M232" s="8">
        <v>0.0</v>
      </c>
      <c r="N232" s="8">
        <v>0.9999999403953552</v>
      </c>
      <c r="O232" s="8">
        <v>0.9999999403953552</v>
      </c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</row>
    <row r="233" ht="15.75" customHeight="1">
      <c r="A233" s="10" t="s">
        <v>58</v>
      </c>
      <c r="B233" s="10" t="s">
        <v>16</v>
      </c>
      <c r="C233" s="10" t="s">
        <v>55</v>
      </c>
      <c r="D233" s="11">
        <v>0.057447065043888544</v>
      </c>
      <c r="E233" s="11">
        <v>0.7336838841438293</v>
      </c>
      <c r="F233" s="11">
        <v>0.728837251663208</v>
      </c>
      <c r="G233" s="11">
        <v>0.7312526106834412</v>
      </c>
      <c r="H233" s="11">
        <v>0.48</v>
      </c>
      <c r="I233" s="11">
        <v>0.1172106824925816</v>
      </c>
      <c r="J233" s="11">
        <v>0.19111111111111112</v>
      </c>
      <c r="K233" s="11">
        <v>0.24740740740740738</v>
      </c>
      <c r="L233" s="11">
        <v>0.0</v>
      </c>
      <c r="M233" s="11">
        <v>0.0</v>
      </c>
      <c r="N233" s="11">
        <v>0.9999999403953552</v>
      </c>
      <c r="O233" s="11">
        <v>0.9999999403953552</v>
      </c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</row>
    <row r="234" ht="15.75" customHeight="1">
      <c r="A234" s="7" t="s">
        <v>59</v>
      </c>
      <c r="B234" s="7" t="s">
        <v>16</v>
      </c>
      <c r="C234" s="7" t="s">
        <v>55</v>
      </c>
      <c r="D234" s="8">
        <v>0.07708339747319241</v>
      </c>
      <c r="E234" s="8">
        <v>0.7461416721343994</v>
      </c>
      <c r="F234" s="8">
        <v>0.737066388130188</v>
      </c>
      <c r="G234" s="8">
        <v>0.7415763139724731</v>
      </c>
      <c r="H234" s="8">
        <v>0.48847926267281105</v>
      </c>
      <c r="I234" s="8">
        <v>0.15384615384615385</v>
      </c>
      <c r="J234" s="8">
        <v>0.19354838709677416</v>
      </c>
      <c r="K234" s="8">
        <v>0.2795698924731183</v>
      </c>
      <c r="L234" s="8">
        <v>0.0</v>
      </c>
      <c r="M234" s="8">
        <v>0.0</v>
      </c>
      <c r="N234" s="8">
        <v>0.9999999403953552</v>
      </c>
      <c r="O234" s="8">
        <v>0.9999999403953552</v>
      </c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</row>
    <row r="235" ht="15.75" customHeight="1">
      <c r="A235" s="10" t="s">
        <v>60</v>
      </c>
      <c r="B235" s="10" t="s">
        <v>16</v>
      </c>
      <c r="C235" s="10" t="s">
        <v>55</v>
      </c>
      <c r="D235" s="11">
        <v>0.0693677572808212</v>
      </c>
      <c r="E235" s="11">
        <v>0.7482932209968567</v>
      </c>
      <c r="F235" s="11">
        <v>0.7243104577064514</v>
      </c>
      <c r="G235" s="11">
        <v>0.7361065149307251</v>
      </c>
      <c r="H235" s="11">
        <v>0.5492451473759885</v>
      </c>
      <c r="I235" s="11">
        <v>0.18718502519798416</v>
      </c>
      <c r="J235" s="11">
        <v>0.19841840402588068</v>
      </c>
      <c r="K235" s="11">
        <v>0.30050323508267435</v>
      </c>
      <c r="L235" s="11">
        <v>0.0</v>
      </c>
      <c r="M235" s="11">
        <v>0.0</v>
      </c>
      <c r="N235" s="11">
        <v>0.9999999403953552</v>
      </c>
      <c r="O235" s="11">
        <v>0.9999999403953552</v>
      </c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</row>
    <row r="237" ht="15.75" customHeight="1">
      <c r="C237" s="2"/>
    </row>
    <row r="238" ht="15.75" customHeight="1"/>
    <row r="239" ht="15.75" customHeight="1"/>
    <row r="240" ht="15.75" customHeight="1"/>
    <row r="241" ht="15.75" customHeight="1">
      <c r="B241" s="3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Q1:Z1"/>
  </mergeCell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3.43"/>
    <col customWidth="1" min="5" max="5" width="21.86"/>
    <col customWidth="1" min="6" max="6" width="18.86"/>
    <col customWidth="1" min="7" max="7" width="15.57"/>
    <col customWidth="1" min="8" max="10" width="12.0"/>
    <col customWidth="1" min="11" max="11" width="13.0"/>
    <col customWidth="1" min="12" max="12" width="18.0"/>
    <col customWidth="1" min="13" max="13" width="21.71"/>
    <col customWidth="1" min="14" max="14" width="13.57"/>
    <col customWidth="1" min="15" max="15" width="17.29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20</v>
      </c>
      <c r="D2" s="1">
        <v>0.07025799622039959</v>
      </c>
      <c r="E2" s="1">
        <v>0.739550769329071</v>
      </c>
      <c r="F2" s="1">
        <v>0.738888680934906</v>
      </c>
      <c r="G2" s="1">
        <v>0.7392195463180542</v>
      </c>
      <c r="H2" s="1">
        <v>0.5101796407185629</v>
      </c>
      <c r="I2" s="1">
        <v>0.16906474820143885</v>
      </c>
      <c r="J2" s="1">
        <v>0.18562874251497008</v>
      </c>
      <c r="K2" s="1">
        <v>0.28263473053892213</v>
      </c>
      <c r="L2" s="1">
        <v>0.0</v>
      </c>
      <c r="M2" s="1">
        <v>0.0</v>
      </c>
      <c r="N2" s="1">
        <v>0.9999999403953552</v>
      </c>
      <c r="O2" s="1">
        <v>0.8271334767341614</v>
      </c>
    </row>
    <row r="3">
      <c r="A3" s="1" t="s">
        <v>15</v>
      </c>
      <c r="B3" s="1" t="s">
        <v>16</v>
      </c>
      <c r="C3" s="1" t="s">
        <v>21</v>
      </c>
      <c r="D3" s="1">
        <v>0.07154966422492529</v>
      </c>
      <c r="E3" s="1">
        <v>0.7374701499938965</v>
      </c>
      <c r="F3" s="1">
        <v>0.7393552660942078</v>
      </c>
      <c r="G3" s="1">
        <v>0.7384114861488342</v>
      </c>
      <c r="H3" s="1">
        <v>0.5063001145475372</v>
      </c>
      <c r="I3" s="1">
        <v>0.1513761467889908</v>
      </c>
      <c r="J3" s="1">
        <v>0.2027491408934708</v>
      </c>
      <c r="K3" s="1">
        <v>0.27720504009163804</v>
      </c>
      <c r="L3" s="1">
        <v>0.0</v>
      </c>
      <c r="M3" s="1">
        <v>0.0</v>
      </c>
      <c r="N3" s="1">
        <v>0.9999999403953552</v>
      </c>
      <c r="O3" s="1">
        <v>0.8271334767341614</v>
      </c>
    </row>
    <row r="4">
      <c r="A4" s="1" t="s">
        <v>15</v>
      </c>
      <c r="B4" s="1" t="s">
        <v>16</v>
      </c>
      <c r="C4" s="1" t="s">
        <v>22</v>
      </c>
      <c r="D4" s="1">
        <v>0.06018273857884317</v>
      </c>
      <c r="E4" s="1">
        <v>0.7506675720214844</v>
      </c>
      <c r="F4" s="1">
        <v>0.7439956665039062</v>
      </c>
      <c r="G4" s="1">
        <v>0.7473167777061462</v>
      </c>
      <c r="H4" s="1">
        <v>0.485207100591716</v>
      </c>
      <c r="I4" s="1">
        <v>0.13744075829383887</v>
      </c>
      <c r="J4" s="1">
        <v>0.1905325443786982</v>
      </c>
      <c r="K4" s="1">
        <v>0.2923076923076923</v>
      </c>
      <c r="L4" s="1">
        <v>0.0</v>
      </c>
      <c r="M4" s="1">
        <v>0.0</v>
      </c>
      <c r="N4" s="1">
        <v>0.9999999403953552</v>
      </c>
      <c r="O4" s="1">
        <v>0.8271334767341614</v>
      </c>
    </row>
    <row r="5">
      <c r="A5" s="1" t="s">
        <v>56</v>
      </c>
      <c r="B5" s="1" t="s">
        <v>16</v>
      </c>
      <c r="C5" s="1" t="s">
        <v>20</v>
      </c>
      <c r="D5" s="1">
        <v>0.04869662287479269</v>
      </c>
      <c r="E5" s="1">
        <v>0.7141472101211548</v>
      </c>
      <c r="F5" s="1">
        <v>0.6972258687019348</v>
      </c>
      <c r="G5" s="1">
        <v>0.7055850625038147</v>
      </c>
      <c r="H5" s="1">
        <v>0.4552745219000616</v>
      </c>
      <c r="I5" s="1">
        <v>0.12353304508956146</v>
      </c>
      <c r="J5" s="1">
        <v>0.17396668723010486</v>
      </c>
      <c r="K5" s="1">
        <v>0.27760641579272055</v>
      </c>
      <c r="L5" s="1">
        <v>0.0</v>
      </c>
      <c r="M5" s="1">
        <v>0.0</v>
      </c>
      <c r="N5" s="1">
        <v>0.9999999403953552</v>
      </c>
      <c r="O5" s="1">
        <v>0.5545380711555481</v>
      </c>
    </row>
    <row r="6">
      <c r="A6" s="1" t="s">
        <v>56</v>
      </c>
      <c r="B6" s="1" t="s">
        <v>16</v>
      </c>
      <c r="C6" s="1" t="s">
        <v>21</v>
      </c>
      <c r="D6" s="1">
        <v>0.05895891767456932</v>
      </c>
      <c r="E6" s="1">
        <v>0.7172750234603882</v>
      </c>
      <c r="F6" s="1">
        <v>0.708884596824646</v>
      </c>
      <c r="G6" s="1">
        <v>0.7130551338195801</v>
      </c>
      <c r="H6" s="1">
        <v>0.4737772539776075</v>
      </c>
      <c r="I6" s="1">
        <v>0.11563421828908556</v>
      </c>
      <c r="J6" s="1">
        <v>0.19210371243370655</v>
      </c>
      <c r="K6" s="1">
        <v>0.27578078962875663</v>
      </c>
      <c r="L6" s="1">
        <v>0.0</v>
      </c>
      <c r="M6" s="1">
        <v>0.0</v>
      </c>
      <c r="N6" s="1">
        <v>0.9999999403953552</v>
      </c>
      <c r="O6" s="1">
        <v>0.5545380711555481</v>
      </c>
    </row>
    <row r="7">
      <c r="A7" s="1" t="s">
        <v>56</v>
      </c>
      <c r="B7" s="1" t="s">
        <v>16</v>
      </c>
      <c r="C7" s="1" t="s">
        <v>22</v>
      </c>
      <c r="D7" s="1">
        <v>0.04462786051827514</v>
      </c>
      <c r="E7" s="1">
        <v>0.7275570631027222</v>
      </c>
      <c r="F7" s="1">
        <v>0.7079843878746033</v>
      </c>
      <c r="G7" s="1">
        <v>0.7176373600959778</v>
      </c>
      <c r="H7" s="1">
        <v>0.46191346739792816</v>
      </c>
      <c r="I7" s="1">
        <v>0.10250152532031727</v>
      </c>
      <c r="J7" s="1">
        <v>0.18037781840341255</v>
      </c>
      <c r="K7" s="1">
        <v>0.26447288238878736</v>
      </c>
      <c r="L7" s="1">
        <v>0.0</v>
      </c>
      <c r="M7" s="1">
        <v>0.0</v>
      </c>
      <c r="N7" s="1">
        <v>0.9999999403953552</v>
      </c>
      <c r="O7" s="1">
        <v>0.5545380711555481</v>
      </c>
    </row>
    <row r="8">
      <c r="A8" s="1" t="s">
        <v>57</v>
      </c>
      <c r="B8" s="1" t="s">
        <v>16</v>
      </c>
      <c r="C8" s="1" t="s">
        <v>20</v>
      </c>
      <c r="D8" s="1">
        <v>0.06763446999236523</v>
      </c>
      <c r="E8" s="1">
        <v>0.7331551909446716</v>
      </c>
      <c r="F8" s="1">
        <v>0.7267712950706482</v>
      </c>
      <c r="G8" s="1">
        <v>0.7299492955207825</v>
      </c>
      <c r="H8" s="1">
        <v>0.4786215698787492</v>
      </c>
      <c r="I8" s="1">
        <v>0.14185303514376996</v>
      </c>
      <c r="J8" s="1">
        <v>0.20038289725590303</v>
      </c>
      <c r="K8" s="1">
        <v>0.27185705169112956</v>
      </c>
      <c r="L8" s="1">
        <v>0.0</v>
      </c>
      <c r="M8" s="1">
        <v>0.0</v>
      </c>
      <c r="N8" s="1">
        <v>0.9999999403953552</v>
      </c>
      <c r="O8" s="1">
        <v>0.9999999403953552</v>
      </c>
    </row>
    <row r="9">
      <c r="A9" s="1" t="s">
        <v>57</v>
      </c>
      <c r="B9" s="1" t="s">
        <v>16</v>
      </c>
      <c r="C9" s="1" t="s">
        <v>21</v>
      </c>
      <c r="D9" s="1">
        <v>0.07568502934370488</v>
      </c>
      <c r="E9" s="1">
        <v>0.7353314161300659</v>
      </c>
      <c r="F9" s="1">
        <v>0.7317997217178345</v>
      </c>
      <c r="G9" s="1">
        <v>0.7335613369941711</v>
      </c>
      <c r="H9" s="1">
        <v>0.5136944613511868</v>
      </c>
      <c r="I9" s="1">
        <v>0.1450335161486898</v>
      </c>
      <c r="J9" s="1">
        <v>0.21180766889835667</v>
      </c>
      <c r="K9" s="1">
        <v>0.2726719415702982</v>
      </c>
      <c r="L9" s="1">
        <v>0.0</v>
      </c>
      <c r="M9" s="1">
        <v>0.0</v>
      </c>
      <c r="N9" s="1">
        <v>0.9999999403953552</v>
      </c>
      <c r="O9" s="1">
        <v>0.9999999403953552</v>
      </c>
    </row>
    <row r="10">
      <c r="A10" s="1" t="s">
        <v>57</v>
      </c>
      <c r="B10" s="1" t="s">
        <v>16</v>
      </c>
      <c r="C10" s="1" t="s">
        <v>22</v>
      </c>
      <c r="D10" s="1">
        <v>0.06527791998982002</v>
      </c>
      <c r="E10" s="1">
        <v>0.751964807510376</v>
      </c>
      <c r="F10" s="1">
        <v>0.7400058507919312</v>
      </c>
      <c r="G10" s="1">
        <v>0.7459374070167542</v>
      </c>
      <c r="H10" s="1">
        <v>0.4965343415248897</v>
      </c>
      <c r="I10" s="1">
        <v>0.1249211356466877</v>
      </c>
      <c r="J10" s="1">
        <v>0.1953371140516698</v>
      </c>
      <c r="K10" s="1">
        <v>0.27851291745431633</v>
      </c>
      <c r="L10" s="1">
        <v>0.0</v>
      </c>
      <c r="M10" s="1">
        <v>0.0</v>
      </c>
      <c r="N10" s="1">
        <v>0.9999999403953552</v>
      </c>
      <c r="O10" s="1">
        <v>0.9999999403953552</v>
      </c>
    </row>
    <row r="11">
      <c r="A11" s="1" t="s">
        <v>58</v>
      </c>
      <c r="B11" s="1" t="s">
        <v>16</v>
      </c>
      <c r="C11" s="1" t="s">
        <v>20</v>
      </c>
      <c r="D11" s="1">
        <v>0.03984220399088658</v>
      </c>
      <c r="E11" s="1">
        <v>0.7135390043258667</v>
      </c>
      <c r="F11" s="1">
        <v>0.7130484580993652</v>
      </c>
      <c r="G11" s="1">
        <v>0.7132936120033264</v>
      </c>
      <c r="H11" s="1">
        <v>0.4507628294036061</v>
      </c>
      <c r="I11" s="1">
        <v>0.10833333333333334</v>
      </c>
      <c r="J11" s="1">
        <v>0.18030513176144244</v>
      </c>
      <c r="K11" s="1">
        <v>0.24271844660194172</v>
      </c>
      <c r="L11" s="1">
        <v>0.0</v>
      </c>
      <c r="M11" s="1">
        <v>0.0</v>
      </c>
      <c r="N11" s="1">
        <v>0.9999999403953552</v>
      </c>
      <c r="O11" s="1">
        <v>0.9999999403953552</v>
      </c>
    </row>
    <row r="12">
      <c r="A12" s="1" t="s">
        <v>58</v>
      </c>
      <c r="B12" s="1" t="s">
        <v>16</v>
      </c>
      <c r="C12" s="1" t="s">
        <v>21</v>
      </c>
      <c r="D12" s="1">
        <v>0.05635812929716088</v>
      </c>
      <c r="E12" s="1">
        <v>0.7234007716178894</v>
      </c>
      <c r="F12" s="1">
        <v>0.7280128002166748</v>
      </c>
      <c r="G12" s="1">
        <v>0.7256994247436523</v>
      </c>
      <c r="H12" s="1">
        <v>0.4598155467720685</v>
      </c>
      <c r="I12" s="1">
        <v>0.11741424802110817</v>
      </c>
      <c r="J12" s="1">
        <v>0.1857707509881423</v>
      </c>
      <c r="K12" s="1">
        <v>0.2793148880105402</v>
      </c>
      <c r="L12" s="1">
        <v>0.0</v>
      </c>
      <c r="M12" s="1">
        <v>0.0</v>
      </c>
      <c r="N12" s="1">
        <v>0.9999999403953552</v>
      </c>
      <c r="O12" s="1">
        <v>0.9999999403953552</v>
      </c>
    </row>
    <row r="13">
      <c r="A13" s="1" t="s">
        <v>58</v>
      </c>
      <c r="B13" s="1" t="s">
        <v>16</v>
      </c>
      <c r="C13" s="1" t="s">
        <v>22</v>
      </c>
      <c r="D13" s="1">
        <v>0.05323714316420221</v>
      </c>
      <c r="E13" s="1">
        <v>0.7305090427398682</v>
      </c>
      <c r="F13" s="1">
        <v>0.7273263931274414</v>
      </c>
      <c r="G13" s="1">
        <v>0.728914201259613</v>
      </c>
      <c r="H13" s="1">
        <v>0.4569083447332422</v>
      </c>
      <c r="I13" s="1">
        <v>0.11232876712328768</v>
      </c>
      <c r="J13" s="1">
        <v>0.18331053351573187</v>
      </c>
      <c r="K13" s="1">
        <v>0.2722298221614227</v>
      </c>
      <c r="L13" s="1">
        <v>0.0</v>
      </c>
      <c r="M13" s="1">
        <v>0.0</v>
      </c>
      <c r="N13" s="1">
        <v>0.9999999403953552</v>
      </c>
      <c r="O13" s="1">
        <v>0.9999999403953552</v>
      </c>
    </row>
    <row r="14">
      <c r="A14" s="1" t="s">
        <v>59</v>
      </c>
      <c r="B14" s="1" t="s">
        <v>16</v>
      </c>
      <c r="C14" s="1" t="s">
        <v>20</v>
      </c>
      <c r="D14" s="1">
        <v>0.06579861585490517</v>
      </c>
      <c r="E14" s="1">
        <v>0.7074922323226929</v>
      </c>
      <c r="F14" s="1">
        <v>0.7049862146377563</v>
      </c>
      <c r="G14" s="1">
        <v>0.7062370181083679</v>
      </c>
      <c r="H14" s="1">
        <v>0.45050215208034433</v>
      </c>
      <c r="I14" s="1">
        <v>0.11925287356321838</v>
      </c>
      <c r="J14" s="1">
        <v>0.1807747489239598</v>
      </c>
      <c r="K14" s="1">
        <v>0.2697274031563845</v>
      </c>
      <c r="L14" s="1">
        <v>0.0</v>
      </c>
      <c r="M14" s="1">
        <v>0.0</v>
      </c>
      <c r="N14" s="1">
        <v>0.9999999403953552</v>
      </c>
      <c r="O14" s="1">
        <v>0.9999999403953552</v>
      </c>
    </row>
    <row r="15">
      <c r="A15" s="1" t="s">
        <v>59</v>
      </c>
      <c r="B15" s="1" t="s">
        <v>16</v>
      </c>
      <c r="C15" s="1" t="s">
        <v>21</v>
      </c>
      <c r="D15" s="1">
        <v>0.06529511892112291</v>
      </c>
      <c r="E15" s="1">
        <v>0.7244020700454712</v>
      </c>
      <c r="F15" s="1">
        <v>0.7248040437698364</v>
      </c>
      <c r="G15" s="1">
        <v>0.724602997303009</v>
      </c>
      <c r="H15" s="1">
        <v>0.4761904761904762</v>
      </c>
      <c r="I15" s="1">
        <v>0.14850136239782016</v>
      </c>
      <c r="J15" s="1">
        <v>0.19319727891156463</v>
      </c>
      <c r="K15" s="1">
        <v>0.28707482993197275</v>
      </c>
      <c r="L15" s="1">
        <v>0.0</v>
      </c>
      <c r="M15" s="1">
        <v>0.0</v>
      </c>
      <c r="N15" s="1">
        <v>0.9999999403953552</v>
      </c>
      <c r="O15" s="1">
        <v>0.9999999403953552</v>
      </c>
    </row>
    <row r="16">
      <c r="A16" s="1" t="s">
        <v>59</v>
      </c>
      <c r="B16" s="1" t="s">
        <v>16</v>
      </c>
      <c r="C16" s="1" t="s">
        <v>22</v>
      </c>
      <c r="D16" s="1">
        <v>0.056876113909183505</v>
      </c>
      <c r="E16" s="1">
        <v>0.7276657223701477</v>
      </c>
      <c r="F16" s="1">
        <v>0.7177121043205261</v>
      </c>
      <c r="G16" s="1">
        <v>0.7226547002792358</v>
      </c>
      <c r="H16" s="1">
        <v>0.4681753889674682</v>
      </c>
      <c r="I16" s="1">
        <v>0.12322946175637395</v>
      </c>
      <c r="J16" s="1">
        <v>0.18811881188118812</v>
      </c>
      <c r="K16" s="1">
        <v>0.2814710042432815</v>
      </c>
      <c r="L16" s="1">
        <v>0.0</v>
      </c>
      <c r="M16" s="1">
        <v>0.0</v>
      </c>
      <c r="N16" s="1">
        <v>0.9999999403953552</v>
      </c>
      <c r="O16" s="1">
        <v>0.9999999403953552</v>
      </c>
    </row>
    <row r="17">
      <c r="A17" s="1" t="s">
        <v>60</v>
      </c>
      <c r="B17" s="1" t="s">
        <v>16</v>
      </c>
      <c r="C17" s="1" t="s">
        <v>20</v>
      </c>
      <c r="D17" s="1">
        <v>0.0739167136393035</v>
      </c>
      <c r="E17" s="1">
        <v>0.7356952428817749</v>
      </c>
      <c r="F17" s="1">
        <v>0.7210648059844971</v>
      </c>
      <c r="G17" s="1">
        <v>0.7283065915107727</v>
      </c>
      <c r="H17" s="1">
        <v>0.5151719487525287</v>
      </c>
      <c r="I17" s="1">
        <v>0.14989871708305197</v>
      </c>
      <c r="J17" s="1">
        <v>0.19689817936614967</v>
      </c>
      <c r="K17" s="1">
        <v>0.3007417397167903</v>
      </c>
      <c r="L17" s="1">
        <v>0.0</v>
      </c>
      <c r="M17" s="1">
        <v>0.0</v>
      </c>
      <c r="N17" s="1">
        <v>0.9999999403953552</v>
      </c>
      <c r="O17" s="1">
        <v>0.9999999403953552</v>
      </c>
    </row>
    <row r="18">
      <c r="A18" s="1" t="s">
        <v>60</v>
      </c>
      <c r="B18" s="1" t="s">
        <v>16</v>
      </c>
      <c r="C18" s="1" t="s">
        <v>21</v>
      </c>
      <c r="D18" s="1">
        <v>0.08968896310691768</v>
      </c>
      <c r="E18" s="1">
        <v>0.7419189810752869</v>
      </c>
      <c r="F18" s="1">
        <v>0.7299197912216187</v>
      </c>
      <c r="G18" s="1">
        <v>0.7358704805374146</v>
      </c>
      <c r="H18" s="1">
        <v>0.5375240538806928</v>
      </c>
      <c r="I18" s="1">
        <v>0.17597944765574824</v>
      </c>
      <c r="J18" s="1">
        <v>0.20012828736369467</v>
      </c>
      <c r="K18" s="1">
        <v>0.29762668377164847</v>
      </c>
      <c r="L18" s="1">
        <v>0.0</v>
      </c>
      <c r="M18" s="1">
        <v>0.0</v>
      </c>
      <c r="N18" s="1">
        <v>0.9999999403953552</v>
      </c>
      <c r="O18" s="1">
        <v>0.9999999403953552</v>
      </c>
    </row>
    <row r="19">
      <c r="A19" s="1" t="s">
        <v>60</v>
      </c>
      <c r="B19" s="1" t="s">
        <v>16</v>
      </c>
      <c r="C19" s="1" t="s">
        <v>22</v>
      </c>
      <c r="D19" s="1">
        <v>0.08251863039032595</v>
      </c>
      <c r="E19" s="1">
        <v>0.7460528612136841</v>
      </c>
      <c r="F19" s="1">
        <v>0.7287774085998535</v>
      </c>
      <c r="G19" s="1">
        <v>0.737313985824585</v>
      </c>
      <c r="H19" s="1">
        <v>0.5109780439121756</v>
      </c>
      <c r="I19" s="1">
        <v>0.15722851432378412</v>
      </c>
      <c r="J19" s="1">
        <v>0.20093147039254824</v>
      </c>
      <c r="K19" s="1">
        <v>0.29008649367930806</v>
      </c>
      <c r="L19" s="1">
        <v>0.0</v>
      </c>
      <c r="M19" s="1">
        <v>0.0</v>
      </c>
      <c r="N19" s="1">
        <v>0.9999999403953552</v>
      </c>
      <c r="O19" s="1">
        <v>0.9999999403953552</v>
      </c>
    </row>
    <row r="21" ht="15.75" customHeight="1">
      <c r="C21" s="2"/>
    </row>
    <row r="22" ht="15.75" customHeight="1"/>
    <row r="23" ht="15.75" customHeight="1"/>
    <row r="24" ht="15.75" customHeight="1"/>
    <row r="25" ht="15.75" customHeight="1">
      <c r="B2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3.43"/>
    <col customWidth="1" min="5" max="5" width="21.86"/>
    <col customWidth="1" min="6" max="6" width="18.86"/>
    <col customWidth="1" min="7" max="7" width="15.57"/>
    <col customWidth="1" min="8" max="10" width="12.0"/>
    <col customWidth="1" min="11" max="11" width="13.0"/>
    <col customWidth="1" min="12" max="12" width="18.0"/>
    <col customWidth="1" min="13" max="13" width="21.71"/>
    <col customWidth="1" min="14" max="14" width="13.57"/>
    <col customWidth="1" min="15" max="15" width="17.29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23</v>
      </c>
      <c r="D2" s="1">
        <v>0.05642314487733754</v>
      </c>
      <c r="E2" s="1">
        <v>0.7438938021659851</v>
      </c>
      <c r="F2" s="1">
        <v>0.736708402633667</v>
      </c>
      <c r="G2" s="1">
        <v>0.7402836680412292</v>
      </c>
      <c r="H2" s="1">
        <v>0.4760705289672544</v>
      </c>
      <c r="I2" s="1">
        <v>0.15762925598991173</v>
      </c>
      <c r="J2" s="1">
        <v>0.1788413098236776</v>
      </c>
      <c r="K2" s="1">
        <v>0.26952141057934503</v>
      </c>
      <c r="L2" s="1">
        <v>0.0</v>
      </c>
      <c r="M2" s="1">
        <v>0.0</v>
      </c>
      <c r="N2" s="1">
        <v>0.9999999403953552</v>
      </c>
      <c r="O2" s="1">
        <v>0.8271334767341614</v>
      </c>
    </row>
    <row r="3">
      <c r="A3" s="1" t="s">
        <v>15</v>
      </c>
      <c r="B3" s="1" t="s">
        <v>16</v>
      </c>
      <c r="C3" s="1" t="s">
        <v>24</v>
      </c>
      <c r="D3" s="1">
        <v>0.055889325576859036</v>
      </c>
      <c r="E3" s="1">
        <v>0.7473039031028748</v>
      </c>
      <c r="F3" s="1">
        <v>0.7374606132507324</v>
      </c>
      <c r="G3" s="1">
        <v>0.7423495650291443</v>
      </c>
      <c r="H3" s="1">
        <v>0.4685714285714286</v>
      </c>
      <c r="I3" s="1">
        <v>0.1551176096630642</v>
      </c>
      <c r="J3" s="1">
        <v>0.17523809523809522</v>
      </c>
      <c r="K3" s="1">
        <v>0.2679365079365079</v>
      </c>
      <c r="L3" s="1">
        <v>0.0</v>
      </c>
      <c r="M3" s="1">
        <v>0.0</v>
      </c>
      <c r="N3" s="1">
        <v>0.9999999403953552</v>
      </c>
      <c r="O3" s="1">
        <v>0.8271334767341614</v>
      </c>
    </row>
    <row r="4">
      <c r="A4" s="1" t="s">
        <v>15</v>
      </c>
      <c r="B4" s="1" t="s">
        <v>16</v>
      </c>
      <c r="C4" s="1" t="s">
        <v>25</v>
      </c>
      <c r="D4" s="1">
        <v>0.055889325576859036</v>
      </c>
      <c r="E4" s="1">
        <v>0.7473039031028748</v>
      </c>
      <c r="F4" s="1">
        <v>0.7374606132507324</v>
      </c>
      <c r="G4" s="1">
        <v>0.7423495650291443</v>
      </c>
      <c r="H4" s="1">
        <v>0.4685714285714286</v>
      </c>
      <c r="I4" s="1">
        <v>0.1551176096630642</v>
      </c>
      <c r="J4" s="1">
        <v>0.17523809523809522</v>
      </c>
      <c r="K4" s="1">
        <v>0.2679365079365079</v>
      </c>
      <c r="L4" s="1">
        <v>0.0</v>
      </c>
      <c r="M4" s="1">
        <v>0.0</v>
      </c>
      <c r="N4" s="1">
        <v>0.9999999403953552</v>
      </c>
      <c r="O4" s="1">
        <v>0.8271334767341614</v>
      </c>
    </row>
    <row r="5">
      <c r="A5" s="1" t="s">
        <v>15</v>
      </c>
      <c r="B5" s="1" t="s">
        <v>16</v>
      </c>
      <c r="C5" s="1" t="s">
        <v>26</v>
      </c>
      <c r="D5" s="1">
        <v>0.05715371883589902</v>
      </c>
      <c r="E5" s="1">
        <v>0.758051335811615</v>
      </c>
      <c r="F5" s="1">
        <v>0.751952052116394</v>
      </c>
      <c r="G5" s="1">
        <v>0.7549893856048584</v>
      </c>
      <c r="H5" s="1">
        <v>0.4818817546090273</v>
      </c>
      <c r="I5" s="1">
        <v>0.15404201145767027</v>
      </c>
      <c r="J5" s="1">
        <v>0.20470438652256834</v>
      </c>
      <c r="K5" s="1">
        <v>0.2619198982835346</v>
      </c>
      <c r="L5" s="1">
        <v>0.0</v>
      </c>
      <c r="M5" s="1">
        <v>0.0</v>
      </c>
      <c r="N5" s="1">
        <v>0.9999999403953552</v>
      </c>
      <c r="O5" s="1">
        <v>0.8271334767341614</v>
      </c>
    </row>
    <row r="6">
      <c r="A6" s="1" t="s">
        <v>15</v>
      </c>
      <c r="B6" s="1" t="s">
        <v>16</v>
      </c>
      <c r="C6" s="1" t="s">
        <v>27</v>
      </c>
      <c r="D6" s="1">
        <v>0.051347904121211374</v>
      </c>
      <c r="E6" s="1">
        <v>0.7596192359924316</v>
      </c>
      <c r="F6" s="1">
        <v>0.7499404549598694</v>
      </c>
      <c r="G6" s="1">
        <v>0.7547488212585449</v>
      </c>
      <c r="H6" s="1">
        <v>0.49044585987261147</v>
      </c>
      <c r="I6" s="1">
        <v>0.1607142857142857</v>
      </c>
      <c r="J6" s="1">
        <v>0.2038216560509554</v>
      </c>
      <c r="K6" s="1">
        <v>0.26114649681528657</v>
      </c>
      <c r="L6" s="1">
        <v>0.0</v>
      </c>
      <c r="M6" s="1">
        <v>0.0</v>
      </c>
      <c r="N6" s="1">
        <v>0.9999999403953552</v>
      </c>
      <c r="O6" s="1">
        <v>0.8271334767341614</v>
      </c>
    </row>
    <row r="7">
      <c r="A7" s="1" t="s">
        <v>15</v>
      </c>
      <c r="B7" s="1" t="s">
        <v>16</v>
      </c>
      <c r="C7" s="1" t="s">
        <v>28</v>
      </c>
      <c r="D7" s="1">
        <v>0.04729478509575231</v>
      </c>
      <c r="E7" s="1">
        <v>0.758371889591217</v>
      </c>
      <c r="F7" s="1">
        <v>0.749900221824646</v>
      </c>
      <c r="G7" s="1">
        <v>0.7541122436523438</v>
      </c>
      <c r="H7" s="1">
        <v>0.48063033486539725</v>
      </c>
      <c r="I7" s="1">
        <v>0.16305062458908615</v>
      </c>
      <c r="J7" s="1">
        <v>0.19829284307288247</v>
      </c>
      <c r="K7" s="1">
        <v>0.26526592252133946</v>
      </c>
      <c r="L7" s="1">
        <v>0.0</v>
      </c>
      <c r="M7" s="1">
        <v>0.0</v>
      </c>
      <c r="N7" s="1">
        <v>0.9999999403953552</v>
      </c>
      <c r="O7" s="1">
        <v>0.8271334767341614</v>
      </c>
    </row>
    <row r="8">
      <c r="A8" s="1" t="s">
        <v>56</v>
      </c>
      <c r="B8" s="1" t="s">
        <v>16</v>
      </c>
      <c r="C8" s="1" t="s">
        <v>23</v>
      </c>
      <c r="D8" s="1">
        <v>0.034471011491698775</v>
      </c>
      <c r="E8" s="1">
        <v>0.7212876677513123</v>
      </c>
      <c r="F8" s="1">
        <v>0.7010066509246826</v>
      </c>
      <c r="G8" s="1">
        <v>0.71100252866745</v>
      </c>
      <c r="H8" s="1">
        <v>0.4301494476933073</v>
      </c>
      <c r="I8" s="1">
        <v>0.09759271307742355</v>
      </c>
      <c r="J8" s="1">
        <v>0.1728395061728395</v>
      </c>
      <c r="K8" s="1">
        <v>0.26120857699805067</v>
      </c>
      <c r="L8" s="1">
        <v>0.0</v>
      </c>
      <c r="M8" s="1">
        <v>0.0</v>
      </c>
      <c r="N8" s="1">
        <v>0.9999999403953552</v>
      </c>
      <c r="O8" s="1">
        <v>0.5545380711555481</v>
      </c>
    </row>
    <row r="9">
      <c r="A9" s="1" t="s">
        <v>56</v>
      </c>
      <c r="B9" s="1" t="s">
        <v>16</v>
      </c>
      <c r="C9" s="1" t="s">
        <v>24</v>
      </c>
      <c r="D9" s="1">
        <v>0.03503918577558686</v>
      </c>
      <c r="E9" s="1">
        <v>0.7242181301116943</v>
      </c>
      <c r="F9" s="1">
        <v>0.7014703750610352</v>
      </c>
      <c r="G9" s="1">
        <v>0.7126627564430237</v>
      </c>
      <c r="H9" s="1">
        <v>0.4246395806028834</v>
      </c>
      <c r="I9" s="1">
        <v>0.09973753280839895</v>
      </c>
      <c r="J9" s="1">
        <v>0.1730013106159895</v>
      </c>
      <c r="K9" s="1">
        <v>0.254259501965924</v>
      </c>
      <c r="L9" s="1">
        <v>0.0</v>
      </c>
      <c r="M9" s="1">
        <v>0.0</v>
      </c>
      <c r="N9" s="1">
        <v>0.9999999403953552</v>
      </c>
      <c r="O9" s="1">
        <v>0.5545380711555481</v>
      </c>
    </row>
    <row r="10">
      <c r="A10" s="1" t="s">
        <v>56</v>
      </c>
      <c r="B10" s="1" t="s">
        <v>16</v>
      </c>
      <c r="C10" s="1" t="s">
        <v>25</v>
      </c>
      <c r="D10" s="1">
        <v>0.03503918577558686</v>
      </c>
      <c r="E10" s="1">
        <v>0.7242181301116943</v>
      </c>
      <c r="F10" s="1">
        <v>0.7014703750610352</v>
      </c>
      <c r="G10" s="1">
        <v>0.7126627564430237</v>
      </c>
      <c r="H10" s="1">
        <v>0.4246395806028834</v>
      </c>
      <c r="I10" s="1">
        <v>0.09973753280839895</v>
      </c>
      <c r="J10" s="1">
        <v>0.1730013106159895</v>
      </c>
      <c r="K10" s="1">
        <v>0.254259501965924</v>
      </c>
      <c r="L10" s="1">
        <v>0.0</v>
      </c>
      <c r="M10" s="1">
        <v>0.0</v>
      </c>
      <c r="N10" s="1">
        <v>0.9999999403953552</v>
      </c>
      <c r="O10" s="1">
        <v>0.5545380711555481</v>
      </c>
    </row>
    <row r="11">
      <c r="A11" s="1" t="s">
        <v>56</v>
      </c>
      <c r="B11" s="1" t="s">
        <v>16</v>
      </c>
      <c r="C11" s="1" t="s">
        <v>26</v>
      </c>
      <c r="D11" s="1">
        <v>0.045429399813521634</v>
      </c>
      <c r="E11" s="1">
        <v>0.7298762202262878</v>
      </c>
      <c r="F11" s="1">
        <v>0.7077732086181641</v>
      </c>
      <c r="G11" s="1">
        <v>0.7186548113822937</v>
      </c>
      <c r="H11" s="1">
        <v>0.4606299212598425</v>
      </c>
      <c r="I11" s="1">
        <v>0.11038107752956637</v>
      </c>
      <c r="J11" s="1">
        <v>0.1968503937007874</v>
      </c>
      <c r="K11" s="1">
        <v>0.2598425196850394</v>
      </c>
      <c r="L11" s="1">
        <v>0.0</v>
      </c>
      <c r="M11" s="1">
        <v>0.0</v>
      </c>
      <c r="N11" s="1">
        <v>0.9999999403953552</v>
      </c>
      <c r="O11" s="1">
        <v>0.5545380711555481</v>
      </c>
    </row>
    <row r="12">
      <c r="A12" s="1" t="s">
        <v>56</v>
      </c>
      <c r="B12" s="1" t="s">
        <v>16</v>
      </c>
      <c r="C12" s="1" t="s">
        <v>27</v>
      </c>
      <c r="D12" s="1">
        <v>0.04546954866788666</v>
      </c>
      <c r="E12" s="1">
        <v>0.7317137122154236</v>
      </c>
      <c r="F12" s="1">
        <v>0.7089313268661499</v>
      </c>
      <c r="G12" s="1">
        <v>0.7201423645019531</v>
      </c>
      <c r="H12" s="1">
        <v>0.462853385930309</v>
      </c>
      <c r="I12" s="1">
        <v>0.11059907834101382</v>
      </c>
      <c r="J12" s="1">
        <v>0.19723865877712032</v>
      </c>
      <c r="K12" s="1">
        <v>0.2590401051939514</v>
      </c>
      <c r="L12" s="1">
        <v>0.0</v>
      </c>
      <c r="M12" s="1">
        <v>0.0</v>
      </c>
      <c r="N12" s="1">
        <v>0.9999999403953552</v>
      </c>
      <c r="O12" s="1">
        <v>0.5545380711555481</v>
      </c>
    </row>
    <row r="13">
      <c r="A13" s="1" t="s">
        <v>56</v>
      </c>
      <c r="B13" s="1" t="s">
        <v>16</v>
      </c>
      <c r="C13" s="1" t="s">
        <v>28</v>
      </c>
      <c r="D13" s="1">
        <v>0.04214749408586612</v>
      </c>
      <c r="E13" s="1">
        <v>0.7313814163208008</v>
      </c>
      <c r="F13" s="1">
        <v>0.7093085050582886</v>
      </c>
      <c r="G13" s="1">
        <v>0.7201758623123169</v>
      </c>
      <c r="H13" s="1">
        <v>0.45454545454545453</v>
      </c>
      <c r="I13" s="1">
        <v>0.11141304347826088</v>
      </c>
      <c r="J13" s="1">
        <v>0.19131614654002715</v>
      </c>
      <c r="K13" s="1">
        <v>0.25508819538670285</v>
      </c>
      <c r="L13" s="1">
        <v>0.0</v>
      </c>
      <c r="M13" s="1">
        <v>0.0</v>
      </c>
      <c r="N13" s="1">
        <v>0.9999999403953552</v>
      </c>
      <c r="O13" s="1">
        <v>0.5545380711555481</v>
      </c>
    </row>
    <row r="14">
      <c r="A14" s="1" t="s">
        <v>57</v>
      </c>
      <c r="B14" s="1" t="s">
        <v>16</v>
      </c>
      <c r="C14" s="1" t="s">
        <v>23</v>
      </c>
      <c r="D14" s="1">
        <v>0.04794497047126003</v>
      </c>
      <c r="E14" s="1">
        <v>0.7493394613265991</v>
      </c>
      <c r="F14" s="1">
        <v>0.7387650012969971</v>
      </c>
      <c r="G14" s="1">
        <v>0.7440146803855896</v>
      </c>
      <c r="H14" s="1">
        <v>0.4444444444444445</v>
      </c>
      <c r="I14" s="1">
        <v>0.11598111935266353</v>
      </c>
      <c r="J14" s="1">
        <v>0.19124579124579125</v>
      </c>
      <c r="K14" s="1">
        <v>0.26262626262626265</v>
      </c>
      <c r="L14" s="1">
        <v>0.0</v>
      </c>
      <c r="M14" s="1">
        <v>0.0</v>
      </c>
      <c r="N14" s="1">
        <v>0.9999999403953552</v>
      </c>
      <c r="O14" s="1">
        <v>0.9999999403953552</v>
      </c>
    </row>
    <row r="15">
      <c r="A15" s="1" t="s">
        <v>57</v>
      </c>
      <c r="B15" s="1" t="s">
        <v>16</v>
      </c>
      <c r="C15" s="1" t="s">
        <v>24</v>
      </c>
      <c r="D15" s="1">
        <v>0.058063387936699865</v>
      </c>
      <c r="E15" s="1">
        <v>0.75547194480896</v>
      </c>
      <c r="F15" s="1">
        <v>0.7429813146591187</v>
      </c>
      <c r="G15" s="1">
        <v>0.7491745352745056</v>
      </c>
      <c r="H15" s="1">
        <v>0.4442934782608695</v>
      </c>
      <c r="I15" s="1">
        <v>0.12108843537414966</v>
      </c>
      <c r="J15" s="1">
        <v>0.19157608695652176</v>
      </c>
      <c r="K15" s="1">
        <v>0.264945652173913</v>
      </c>
      <c r="L15" s="1">
        <v>0.0</v>
      </c>
      <c r="M15" s="1">
        <v>0.0</v>
      </c>
      <c r="N15" s="1">
        <v>0.9999999403953552</v>
      </c>
      <c r="O15" s="1">
        <v>0.9999999403953552</v>
      </c>
    </row>
    <row r="16">
      <c r="A16" s="1" t="s">
        <v>57</v>
      </c>
      <c r="B16" s="1" t="s">
        <v>16</v>
      </c>
      <c r="C16" s="1" t="s">
        <v>25</v>
      </c>
      <c r="D16" s="1">
        <v>0.058063387936699865</v>
      </c>
      <c r="E16" s="1">
        <v>0.75547194480896</v>
      </c>
      <c r="F16" s="1">
        <v>0.7429813146591187</v>
      </c>
      <c r="G16" s="1">
        <v>0.7491745352745056</v>
      </c>
      <c r="H16" s="1">
        <v>0.4442934782608695</v>
      </c>
      <c r="I16" s="1">
        <v>0.12108843537414966</v>
      </c>
      <c r="J16" s="1">
        <v>0.19157608695652176</v>
      </c>
      <c r="K16" s="1">
        <v>0.264945652173913</v>
      </c>
      <c r="L16" s="1">
        <v>0.0</v>
      </c>
      <c r="M16" s="1">
        <v>0.0</v>
      </c>
      <c r="N16" s="1">
        <v>0.9999999403953552</v>
      </c>
      <c r="O16" s="1">
        <v>0.9999999403953552</v>
      </c>
    </row>
    <row r="17">
      <c r="A17" s="1" t="s">
        <v>57</v>
      </c>
      <c r="B17" s="1" t="s">
        <v>16</v>
      </c>
      <c r="C17" s="1" t="s">
        <v>26</v>
      </c>
      <c r="D17" s="1">
        <v>0.07846316044496168</v>
      </c>
      <c r="E17" s="1">
        <v>0.7619577050209045</v>
      </c>
      <c r="F17" s="1">
        <v>0.7462158203125</v>
      </c>
      <c r="G17" s="1">
        <v>0.7540046572685242</v>
      </c>
      <c r="H17" s="1">
        <v>0.489795918367347</v>
      </c>
      <c r="I17" s="1">
        <v>0.1566757493188011</v>
      </c>
      <c r="J17" s="1">
        <v>0.2163265306122449</v>
      </c>
      <c r="K17" s="1">
        <v>0.26258503401360545</v>
      </c>
      <c r="L17" s="1">
        <v>0.0</v>
      </c>
      <c r="M17" s="1">
        <v>0.0</v>
      </c>
      <c r="N17" s="1">
        <v>0.9999999403953552</v>
      </c>
      <c r="O17" s="1">
        <v>0.9999999403953552</v>
      </c>
    </row>
    <row r="18">
      <c r="A18" s="1" t="s">
        <v>57</v>
      </c>
      <c r="B18" s="1" t="s">
        <v>16</v>
      </c>
      <c r="C18" s="1" t="s">
        <v>27</v>
      </c>
      <c r="D18" s="1">
        <v>0.07640176947987139</v>
      </c>
      <c r="E18" s="1">
        <v>0.7661141157150269</v>
      </c>
      <c r="F18" s="1">
        <v>0.7487077116966248</v>
      </c>
      <c r="G18" s="1">
        <v>0.7573109269142151</v>
      </c>
      <c r="H18" s="1">
        <v>0.49079754601226994</v>
      </c>
      <c r="I18" s="1">
        <v>0.1583617747440273</v>
      </c>
      <c r="J18" s="1">
        <v>0.21813224267211997</v>
      </c>
      <c r="K18" s="1">
        <v>0.2603953646898432</v>
      </c>
      <c r="L18" s="1">
        <v>0.0</v>
      </c>
      <c r="M18" s="1">
        <v>0.0</v>
      </c>
      <c r="N18" s="1">
        <v>0.9999999403953552</v>
      </c>
      <c r="O18" s="1">
        <v>0.9999999403953552</v>
      </c>
    </row>
    <row r="19">
      <c r="A19" s="1" t="s">
        <v>57</v>
      </c>
      <c r="B19" s="1" t="s">
        <v>16</v>
      </c>
      <c r="C19" s="1" t="s">
        <v>28</v>
      </c>
      <c r="D19" s="1">
        <v>0.07149637424063646</v>
      </c>
      <c r="E19" s="1">
        <v>0.7648155689239502</v>
      </c>
      <c r="F19" s="1">
        <v>0.7478376626968384</v>
      </c>
      <c r="G19" s="1">
        <v>0.7562313079833984</v>
      </c>
      <c r="H19" s="1">
        <v>0.4830985915492958</v>
      </c>
      <c r="I19" s="1">
        <v>0.15655853314527501</v>
      </c>
      <c r="J19" s="1">
        <v>0.21549295774647886</v>
      </c>
      <c r="K19" s="1">
        <v>0.25915492957746483</v>
      </c>
      <c r="L19" s="1">
        <v>0.0</v>
      </c>
      <c r="M19" s="1">
        <v>0.0</v>
      </c>
      <c r="N19" s="1">
        <v>0.9999999403953552</v>
      </c>
      <c r="O19" s="1">
        <v>0.9999999403953552</v>
      </c>
    </row>
    <row r="20">
      <c r="A20" s="1" t="s">
        <v>58</v>
      </c>
      <c r="B20" s="1" t="s">
        <v>16</v>
      </c>
      <c r="C20" s="1" t="s">
        <v>23</v>
      </c>
      <c r="D20" s="1">
        <v>0.05048029758454118</v>
      </c>
      <c r="E20" s="1">
        <v>0.7354031205177307</v>
      </c>
      <c r="F20" s="1">
        <v>0.7286776304244995</v>
      </c>
      <c r="G20" s="1">
        <v>0.7320249080657959</v>
      </c>
      <c r="H20" s="1">
        <v>0.4647058823529412</v>
      </c>
      <c r="I20" s="1">
        <v>0.11340206185567012</v>
      </c>
      <c r="J20" s="1">
        <v>0.19117647058823528</v>
      </c>
      <c r="K20" s="1">
        <v>0.2691176470588235</v>
      </c>
      <c r="L20" s="1">
        <v>0.0</v>
      </c>
      <c r="M20" s="1">
        <v>0.0</v>
      </c>
      <c r="N20" s="1">
        <v>0.9999999403953552</v>
      </c>
      <c r="O20" s="1">
        <v>0.9999999403953552</v>
      </c>
    </row>
    <row r="21" ht="15.75" customHeight="1">
      <c r="A21" s="1" t="s">
        <v>58</v>
      </c>
      <c r="B21" s="1" t="s">
        <v>16</v>
      </c>
      <c r="C21" s="1" t="s">
        <v>24</v>
      </c>
      <c r="D21" s="1">
        <v>0.04645175456005988</v>
      </c>
      <c r="E21" s="1">
        <v>0.7384192943572998</v>
      </c>
      <c r="F21" s="1">
        <v>0.7295912504196167</v>
      </c>
      <c r="G21" s="1">
        <v>0.7339787483215332</v>
      </c>
      <c r="H21" s="1">
        <v>0.4573125463994061</v>
      </c>
      <c r="I21" s="1">
        <v>0.11152416356877323</v>
      </c>
      <c r="J21" s="1">
        <v>0.19005196733481813</v>
      </c>
      <c r="K21" s="1">
        <v>0.26726057906458794</v>
      </c>
      <c r="L21" s="1">
        <v>0.0</v>
      </c>
      <c r="M21" s="1">
        <v>0.0</v>
      </c>
      <c r="N21" s="1">
        <v>0.9999999403953552</v>
      </c>
      <c r="O21" s="1">
        <v>0.9999999403953552</v>
      </c>
    </row>
    <row r="22" ht="15.75" customHeight="1">
      <c r="A22" s="1" t="s">
        <v>58</v>
      </c>
      <c r="B22" s="1" t="s">
        <v>16</v>
      </c>
      <c r="C22" s="1" t="s">
        <v>25</v>
      </c>
      <c r="D22" s="1">
        <v>0.04645175456005988</v>
      </c>
      <c r="E22" s="1">
        <v>0.7384192943572998</v>
      </c>
      <c r="F22" s="1">
        <v>0.7295912504196167</v>
      </c>
      <c r="G22" s="1">
        <v>0.7339787483215332</v>
      </c>
      <c r="H22" s="1">
        <v>0.4573125463994061</v>
      </c>
      <c r="I22" s="1">
        <v>0.11152416356877323</v>
      </c>
      <c r="J22" s="1">
        <v>0.19005196733481813</v>
      </c>
      <c r="K22" s="1">
        <v>0.26726057906458794</v>
      </c>
      <c r="L22" s="1">
        <v>0.0</v>
      </c>
      <c r="M22" s="1">
        <v>0.0</v>
      </c>
      <c r="N22" s="1">
        <v>0.9999999403953552</v>
      </c>
      <c r="O22" s="1">
        <v>0.9999999403953552</v>
      </c>
    </row>
    <row r="23" ht="15.75" customHeight="1">
      <c r="A23" s="1" t="s">
        <v>58</v>
      </c>
      <c r="B23" s="1" t="s">
        <v>16</v>
      </c>
      <c r="C23" s="1" t="s">
        <v>26</v>
      </c>
      <c r="D23" s="1">
        <v>0.05552656318798099</v>
      </c>
      <c r="E23" s="1">
        <v>0.7360329627990723</v>
      </c>
      <c r="F23" s="1">
        <v>0.7295037508010864</v>
      </c>
      <c r="G23" s="1">
        <v>0.7327538132667542</v>
      </c>
      <c r="H23" s="1">
        <v>0.46988847583643123</v>
      </c>
      <c r="I23" s="1">
        <v>0.11913626209977661</v>
      </c>
      <c r="J23" s="1">
        <v>0.2037174721189591</v>
      </c>
      <c r="K23" s="1">
        <v>0.26765799256505574</v>
      </c>
      <c r="L23" s="1">
        <v>0.0</v>
      </c>
      <c r="M23" s="1">
        <v>0.0</v>
      </c>
      <c r="N23" s="1">
        <v>0.9999999403953552</v>
      </c>
      <c r="O23" s="1">
        <v>0.9999999403953552</v>
      </c>
    </row>
    <row r="24" ht="15.75" customHeight="1">
      <c r="A24" s="1" t="s">
        <v>58</v>
      </c>
      <c r="B24" s="1" t="s">
        <v>16</v>
      </c>
      <c r="C24" s="1" t="s">
        <v>27</v>
      </c>
      <c r="D24" s="1">
        <v>0.05667833210013334</v>
      </c>
      <c r="E24" s="1">
        <v>0.7407324314117432</v>
      </c>
      <c r="F24" s="1">
        <v>0.7318458557128906</v>
      </c>
      <c r="G24" s="1">
        <v>0.7362623810768127</v>
      </c>
      <c r="H24" s="1">
        <v>0.47391952309985097</v>
      </c>
      <c r="I24" s="1">
        <v>0.12089552238805971</v>
      </c>
      <c r="J24" s="1">
        <v>0.21013412816691507</v>
      </c>
      <c r="K24" s="1">
        <v>0.26825633383010433</v>
      </c>
      <c r="L24" s="1">
        <v>0.0</v>
      </c>
      <c r="M24" s="1">
        <v>0.0</v>
      </c>
      <c r="N24" s="1">
        <v>0.9999999403953552</v>
      </c>
      <c r="O24" s="1">
        <v>0.9999999403953552</v>
      </c>
    </row>
    <row r="25" ht="15.75" customHeight="1">
      <c r="A25" s="1" t="s">
        <v>58</v>
      </c>
      <c r="B25" s="1" t="s">
        <v>16</v>
      </c>
      <c r="C25" s="1" t="s">
        <v>28</v>
      </c>
      <c r="D25" s="1">
        <v>0.05412682161184386</v>
      </c>
      <c r="E25" s="1">
        <v>0.7399179935455322</v>
      </c>
      <c r="F25" s="1">
        <v>0.731739342212677</v>
      </c>
      <c r="G25" s="1">
        <v>0.7358059883117676</v>
      </c>
      <c r="H25" s="1">
        <v>0.46795366795366794</v>
      </c>
      <c r="I25" s="1">
        <v>0.11910286156225831</v>
      </c>
      <c r="J25" s="1">
        <v>0.21158301158301157</v>
      </c>
      <c r="K25" s="1">
        <v>0.27335907335907333</v>
      </c>
      <c r="L25" s="1">
        <v>0.0</v>
      </c>
      <c r="M25" s="1">
        <v>0.0</v>
      </c>
      <c r="N25" s="1">
        <v>0.9999999403953552</v>
      </c>
      <c r="O25" s="1">
        <v>0.9999999403953552</v>
      </c>
    </row>
    <row r="26" ht="15.75" customHeight="1">
      <c r="A26" s="1" t="s">
        <v>59</v>
      </c>
      <c r="B26" s="1" t="s">
        <v>16</v>
      </c>
      <c r="C26" s="1" t="s">
        <v>23</v>
      </c>
      <c r="D26" s="1">
        <v>0.037884231903133184</v>
      </c>
      <c r="E26" s="1">
        <v>0.723712682723999</v>
      </c>
      <c r="F26" s="1">
        <v>0.7130594253540039</v>
      </c>
      <c r="G26" s="1">
        <v>0.7183465957641602</v>
      </c>
      <c r="H26" s="1">
        <v>0.4435975609756098</v>
      </c>
      <c r="I26" s="1">
        <v>0.10839694656488551</v>
      </c>
      <c r="J26" s="1">
        <v>0.17530487804878048</v>
      </c>
      <c r="K26" s="1">
        <v>0.2667682926829268</v>
      </c>
      <c r="L26" s="1">
        <v>0.0</v>
      </c>
      <c r="M26" s="1">
        <v>0.0</v>
      </c>
      <c r="N26" s="1">
        <v>0.9999999403953552</v>
      </c>
      <c r="O26" s="1">
        <v>0.9999999403953552</v>
      </c>
    </row>
    <row r="27" ht="15.75" customHeight="1">
      <c r="A27" s="1" t="s">
        <v>59</v>
      </c>
      <c r="B27" s="1" t="s">
        <v>16</v>
      </c>
      <c r="C27" s="1" t="s">
        <v>24</v>
      </c>
      <c r="D27" s="1">
        <v>0.03152445844852444</v>
      </c>
      <c r="E27" s="1">
        <v>0.7248826026916504</v>
      </c>
      <c r="F27" s="1">
        <v>0.7145937085151672</v>
      </c>
      <c r="G27" s="1">
        <v>0.7197014093399048</v>
      </c>
      <c r="H27" s="1">
        <v>0.44341801385681295</v>
      </c>
      <c r="I27" s="1">
        <v>0.1094834232845027</v>
      </c>
      <c r="J27" s="1">
        <v>0.17859892224788299</v>
      </c>
      <c r="K27" s="1">
        <v>0.2802155504234026</v>
      </c>
      <c r="L27" s="1">
        <v>0.0</v>
      </c>
      <c r="M27" s="1">
        <v>0.0</v>
      </c>
      <c r="N27" s="1">
        <v>0.9999999403953552</v>
      </c>
      <c r="O27" s="1">
        <v>0.9999999403953552</v>
      </c>
    </row>
    <row r="28" ht="15.75" customHeight="1">
      <c r="A28" s="1" t="s">
        <v>59</v>
      </c>
      <c r="B28" s="1" t="s">
        <v>16</v>
      </c>
      <c r="C28" s="1" t="s">
        <v>25</v>
      </c>
      <c r="D28" s="1">
        <v>0.03152445844852444</v>
      </c>
      <c r="E28" s="1">
        <v>0.7248826026916504</v>
      </c>
      <c r="F28" s="1">
        <v>0.7145937085151672</v>
      </c>
      <c r="G28" s="1">
        <v>0.7197014093399048</v>
      </c>
      <c r="H28" s="1">
        <v>0.44341801385681295</v>
      </c>
      <c r="I28" s="1">
        <v>0.1094834232845027</v>
      </c>
      <c r="J28" s="1">
        <v>0.17859892224788299</v>
      </c>
      <c r="K28" s="1">
        <v>0.2802155504234026</v>
      </c>
      <c r="L28" s="1">
        <v>0.0</v>
      </c>
      <c r="M28" s="1">
        <v>0.0</v>
      </c>
      <c r="N28" s="1">
        <v>0.9999999403953552</v>
      </c>
      <c r="O28" s="1">
        <v>0.9999999403953552</v>
      </c>
    </row>
    <row r="29" ht="15.75" customHeight="1">
      <c r="A29" s="1" t="s">
        <v>59</v>
      </c>
      <c r="B29" s="1" t="s">
        <v>16</v>
      </c>
      <c r="C29" s="1" t="s">
        <v>26</v>
      </c>
      <c r="D29" s="1">
        <v>0.0669793795824332</v>
      </c>
      <c r="E29" s="1">
        <v>0.7413948774337769</v>
      </c>
      <c r="F29" s="1">
        <v>0.7325479388237</v>
      </c>
      <c r="G29" s="1">
        <v>0.736944854259491</v>
      </c>
      <c r="H29" s="1">
        <v>0.4903623747108713</v>
      </c>
      <c r="I29" s="1">
        <v>0.13745173745173747</v>
      </c>
      <c r="J29" s="1">
        <v>0.2035466461063994</v>
      </c>
      <c r="K29" s="1">
        <v>0.25597532767925985</v>
      </c>
      <c r="L29" s="1">
        <v>0.0</v>
      </c>
      <c r="M29" s="1">
        <v>0.0</v>
      </c>
      <c r="N29" s="1">
        <v>0.9999999403953552</v>
      </c>
      <c r="O29" s="1">
        <v>0.9999999403953552</v>
      </c>
    </row>
    <row r="30" ht="15.75" customHeight="1">
      <c r="A30" s="1" t="s">
        <v>59</v>
      </c>
      <c r="B30" s="1" t="s">
        <v>16</v>
      </c>
      <c r="C30" s="1" t="s">
        <v>27</v>
      </c>
      <c r="D30" s="1">
        <v>0.06476429875913461</v>
      </c>
      <c r="E30" s="1">
        <v>0.7443972826004028</v>
      </c>
      <c r="F30" s="1">
        <v>0.7306452989578247</v>
      </c>
      <c r="G30" s="1">
        <v>0.7374571561813354</v>
      </c>
      <c r="H30" s="1">
        <v>0.4945904173106646</v>
      </c>
      <c r="I30" s="1">
        <v>0.1408668730650155</v>
      </c>
      <c r="J30" s="1">
        <v>0.20401854714064913</v>
      </c>
      <c r="K30" s="1">
        <v>0.2596599690880989</v>
      </c>
      <c r="L30" s="1">
        <v>0.0</v>
      </c>
      <c r="M30" s="1">
        <v>0.0</v>
      </c>
      <c r="N30" s="1">
        <v>0.9999999403953552</v>
      </c>
      <c r="O30" s="1">
        <v>0.9999999403953552</v>
      </c>
    </row>
    <row r="31" ht="15.75" customHeight="1">
      <c r="A31" s="1" t="s">
        <v>59</v>
      </c>
      <c r="B31" s="1" t="s">
        <v>16</v>
      </c>
      <c r="C31" s="1" t="s">
        <v>28</v>
      </c>
      <c r="D31" s="1">
        <v>0.05866973461636469</v>
      </c>
      <c r="E31" s="1">
        <v>0.7438154816627502</v>
      </c>
      <c r="F31" s="1">
        <v>0.7312800884246826</v>
      </c>
      <c r="G31" s="1">
        <v>0.7374945282936096</v>
      </c>
      <c r="H31" s="1">
        <v>0.48596631916599836</v>
      </c>
      <c r="I31" s="1">
        <v>0.1429718875502008</v>
      </c>
      <c r="J31" s="1">
        <v>0.1988773055332799</v>
      </c>
      <c r="K31" s="1">
        <v>0.2758620689655173</v>
      </c>
      <c r="L31" s="1">
        <v>0.0</v>
      </c>
      <c r="M31" s="1">
        <v>0.0</v>
      </c>
      <c r="N31" s="1">
        <v>0.9999999403953552</v>
      </c>
      <c r="O31" s="1">
        <v>0.9999999403953552</v>
      </c>
    </row>
    <row r="32" ht="15.75" customHeight="1">
      <c r="A32" s="1" t="s">
        <v>60</v>
      </c>
      <c r="B32" s="1" t="s">
        <v>16</v>
      </c>
      <c r="C32" s="1" t="s">
        <v>23</v>
      </c>
      <c r="D32" s="1">
        <v>0.07699390511304764</v>
      </c>
      <c r="E32" s="1">
        <v>0.743644118309021</v>
      </c>
      <c r="F32" s="1">
        <v>0.7184867858886719</v>
      </c>
      <c r="G32" s="1">
        <v>0.730849027633667</v>
      </c>
      <c r="H32" s="1">
        <v>0.4925053533190578</v>
      </c>
      <c r="I32" s="1">
        <v>0.14867762687634026</v>
      </c>
      <c r="J32" s="1">
        <v>0.19985724482512487</v>
      </c>
      <c r="K32" s="1">
        <v>0.2940756602426838</v>
      </c>
      <c r="L32" s="1">
        <v>0.0</v>
      </c>
      <c r="M32" s="1">
        <v>0.0</v>
      </c>
      <c r="N32" s="1">
        <v>0.9999999403953552</v>
      </c>
      <c r="O32" s="1">
        <v>0.9999999403953552</v>
      </c>
    </row>
    <row r="33" ht="15.75" customHeight="1">
      <c r="A33" s="1" t="s">
        <v>60</v>
      </c>
      <c r="B33" s="1" t="s">
        <v>16</v>
      </c>
      <c r="C33" s="1" t="s">
        <v>24</v>
      </c>
      <c r="D33" s="1">
        <v>0.07228975439390173</v>
      </c>
      <c r="E33" s="1">
        <v>0.7447216510772705</v>
      </c>
      <c r="F33" s="1">
        <v>0.7182005643844604</v>
      </c>
      <c r="G33" s="1">
        <v>0.7312207221984863</v>
      </c>
      <c r="H33" s="1">
        <v>0.4884726224783862</v>
      </c>
      <c r="I33" s="1">
        <v>0.15151515151515152</v>
      </c>
      <c r="J33" s="1">
        <v>0.19596541786743515</v>
      </c>
      <c r="K33" s="1">
        <v>0.2953890489913545</v>
      </c>
      <c r="L33" s="1">
        <v>0.0</v>
      </c>
      <c r="M33" s="1">
        <v>0.0</v>
      </c>
      <c r="N33" s="1">
        <v>0.9999999403953552</v>
      </c>
      <c r="O33" s="1">
        <v>0.9999999403953552</v>
      </c>
    </row>
    <row r="34" ht="15.75" customHeight="1">
      <c r="A34" s="1" t="s">
        <v>60</v>
      </c>
      <c r="B34" s="1" t="s">
        <v>16</v>
      </c>
      <c r="C34" s="1" t="s">
        <v>25</v>
      </c>
      <c r="D34" s="1">
        <v>0.07228975439390173</v>
      </c>
      <c r="E34" s="1">
        <v>0.7447216510772705</v>
      </c>
      <c r="F34" s="1">
        <v>0.7182005643844604</v>
      </c>
      <c r="G34" s="1">
        <v>0.7312207221984863</v>
      </c>
      <c r="H34" s="1">
        <v>0.4884726224783862</v>
      </c>
      <c r="I34" s="1">
        <v>0.15151515151515152</v>
      </c>
      <c r="J34" s="1">
        <v>0.19596541786743515</v>
      </c>
      <c r="K34" s="1">
        <v>0.2953890489913545</v>
      </c>
      <c r="L34" s="1">
        <v>0.0</v>
      </c>
      <c r="M34" s="1">
        <v>0.0</v>
      </c>
      <c r="N34" s="1">
        <v>0.9999999403953552</v>
      </c>
      <c r="O34" s="1">
        <v>0.9999999403953552</v>
      </c>
    </row>
    <row r="35" ht="15.75" customHeight="1">
      <c r="A35" s="1" t="s">
        <v>60</v>
      </c>
      <c r="B35" s="1" t="s">
        <v>16</v>
      </c>
      <c r="C35" s="1" t="s">
        <v>26</v>
      </c>
      <c r="D35" s="1">
        <v>0.06160319533580257</v>
      </c>
      <c r="E35" s="1">
        <v>0.7481473684310913</v>
      </c>
      <c r="F35" s="1">
        <v>0.721924901008606</v>
      </c>
      <c r="G35" s="1">
        <v>0.7348023056983948</v>
      </c>
      <c r="H35" s="1">
        <v>0.4790764790764791</v>
      </c>
      <c r="I35" s="1">
        <v>0.14017341040462428</v>
      </c>
      <c r="J35" s="1">
        <v>0.21356421356421354</v>
      </c>
      <c r="K35" s="1">
        <v>0.2698412698412698</v>
      </c>
      <c r="L35" s="1">
        <v>0.0</v>
      </c>
      <c r="M35" s="1">
        <v>0.0</v>
      </c>
      <c r="N35" s="1">
        <v>0.9999999403953552</v>
      </c>
      <c r="O35" s="1">
        <v>0.9999999403953552</v>
      </c>
    </row>
    <row r="36" ht="15.75" customHeight="1">
      <c r="A36" s="1" t="s">
        <v>60</v>
      </c>
      <c r="B36" s="1" t="s">
        <v>16</v>
      </c>
      <c r="C36" s="1" t="s">
        <v>27</v>
      </c>
      <c r="D36" s="1">
        <v>0.0633194968418332</v>
      </c>
      <c r="E36" s="1">
        <v>0.7510455846786499</v>
      </c>
      <c r="F36" s="1">
        <v>0.7221406698226929</v>
      </c>
      <c r="G36" s="1">
        <v>0.7363095283508301</v>
      </c>
      <c r="H36" s="1">
        <v>0.4844540853217643</v>
      </c>
      <c r="I36" s="1">
        <v>0.14916727009413466</v>
      </c>
      <c r="J36" s="1">
        <v>0.21258134490238614</v>
      </c>
      <c r="K36" s="1">
        <v>0.2689804772234274</v>
      </c>
      <c r="L36" s="1">
        <v>0.0</v>
      </c>
      <c r="M36" s="1">
        <v>0.0</v>
      </c>
      <c r="N36" s="1">
        <v>0.9999999403953552</v>
      </c>
      <c r="O36" s="1">
        <v>0.9999999403953552</v>
      </c>
    </row>
    <row r="37" ht="15.75" customHeight="1">
      <c r="A37" s="1" t="s">
        <v>60</v>
      </c>
      <c r="B37" s="1" t="s">
        <v>16</v>
      </c>
      <c r="C37" s="1" t="s">
        <v>28</v>
      </c>
      <c r="D37" s="1">
        <v>0.059558473516031926</v>
      </c>
      <c r="E37" s="1">
        <v>0.7506985664367676</v>
      </c>
      <c r="F37" s="1">
        <v>0.7224233746528625</v>
      </c>
      <c r="G37" s="1">
        <v>0.7362896800041199</v>
      </c>
      <c r="H37" s="1">
        <v>0.48652694610778435</v>
      </c>
      <c r="I37" s="1">
        <v>0.14842578710644677</v>
      </c>
      <c r="J37" s="1">
        <v>0.21107784431137722</v>
      </c>
      <c r="K37" s="1">
        <v>0.27245508982035926</v>
      </c>
      <c r="L37" s="1">
        <v>0.0</v>
      </c>
      <c r="M37" s="1">
        <v>0.0</v>
      </c>
      <c r="N37" s="1">
        <v>0.9999999403953552</v>
      </c>
      <c r="O37" s="1">
        <v>0.9999999403953552</v>
      </c>
    </row>
    <row r="38" ht="15.75" customHeight="1"/>
    <row r="39" ht="15.75" customHeight="1">
      <c r="C39" s="2"/>
    </row>
    <row r="40" ht="15.75" customHeight="1"/>
    <row r="41" ht="15.75" customHeight="1"/>
    <row r="42" ht="15.75" customHeight="1"/>
    <row r="43" ht="15.75" customHeight="1">
      <c r="B43" s="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3.43"/>
    <col customWidth="1" min="5" max="5" width="21.86"/>
    <col customWidth="1" min="6" max="6" width="18.86"/>
    <col customWidth="1" min="7" max="7" width="15.57"/>
    <col customWidth="1" min="8" max="10" width="12.0"/>
    <col customWidth="1" min="11" max="11" width="13.0"/>
    <col customWidth="1" min="12" max="12" width="18.0"/>
    <col customWidth="1" min="13" max="13" width="21.71"/>
    <col customWidth="1" min="14" max="14" width="13.57"/>
    <col customWidth="1" min="15" max="15" width="17.29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>
        <v>0.09074548452340513</v>
      </c>
      <c r="E2" s="1">
        <v>0.7501270771026611</v>
      </c>
      <c r="F2" s="1">
        <v>0.751420259475708</v>
      </c>
      <c r="G2" s="1">
        <v>0.7507731318473816</v>
      </c>
      <c r="H2" s="1">
        <v>0.5307730182176267</v>
      </c>
      <c r="I2" s="1">
        <v>0.1784130113356333</v>
      </c>
      <c r="J2" s="1">
        <v>0.190054160512063</v>
      </c>
      <c r="K2" s="1">
        <v>0.28163466272772036</v>
      </c>
      <c r="L2" s="1">
        <v>0.0</v>
      </c>
      <c r="M2" s="1">
        <v>0.0</v>
      </c>
      <c r="N2" s="1">
        <v>0.9999999403953552</v>
      </c>
      <c r="O2" s="1">
        <v>0.8271334767341614</v>
      </c>
    </row>
    <row r="3">
      <c r="A3" s="1" t="s">
        <v>15</v>
      </c>
      <c r="B3" s="1" t="s">
        <v>16</v>
      </c>
      <c r="C3" s="1" t="s">
        <v>18</v>
      </c>
      <c r="D3" s="1">
        <v>0.09438579173566645</v>
      </c>
      <c r="E3" s="1">
        <v>0.7499855756759644</v>
      </c>
      <c r="F3" s="1">
        <v>0.7521843314170837</v>
      </c>
      <c r="G3" s="1">
        <v>0.7510833740234375</v>
      </c>
      <c r="H3" s="1">
        <v>0.5307125307125307</v>
      </c>
      <c r="I3" s="1">
        <v>0.17314313821938024</v>
      </c>
      <c r="J3" s="1">
        <v>0.19262899262899263</v>
      </c>
      <c r="K3" s="1">
        <v>0.28206388206388205</v>
      </c>
      <c r="L3" s="1">
        <v>0.0</v>
      </c>
      <c r="M3" s="1">
        <v>0.0</v>
      </c>
      <c r="N3" s="1">
        <v>0.9999999403953552</v>
      </c>
      <c r="O3" s="1">
        <v>0.8271334767341614</v>
      </c>
    </row>
    <row r="4">
      <c r="A4" s="1" t="s">
        <v>15</v>
      </c>
      <c r="B4" s="1" t="s">
        <v>16</v>
      </c>
      <c r="C4" s="1" t="s">
        <v>19</v>
      </c>
      <c r="D4" s="1">
        <v>0.08873859516496355</v>
      </c>
      <c r="E4" s="1">
        <v>0.75095534324646</v>
      </c>
      <c r="F4" s="1">
        <v>0.7501893043518066</v>
      </c>
      <c r="G4" s="1">
        <v>0.750572144985199</v>
      </c>
      <c r="H4" s="1">
        <v>0.5310059715204409</v>
      </c>
      <c r="I4" s="1">
        <v>0.16919540229885058</v>
      </c>
      <c r="J4" s="1">
        <v>0.1938447404685347</v>
      </c>
      <c r="K4" s="1">
        <v>0.28479559026182816</v>
      </c>
      <c r="L4" s="1">
        <v>0.0</v>
      </c>
      <c r="M4" s="1">
        <v>0.0</v>
      </c>
      <c r="N4" s="1">
        <v>0.9999999403953552</v>
      </c>
      <c r="O4" s="1">
        <v>0.8271334767341614</v>
      </c>
    </row>
    <row r="5">
      <c r="A5" s="1" t="s">
        <v>56</v>
      </c>
      <c r="B5" s="1" t="s">
        <v>16</v>
      </c>
      <c r="C5" s="1" t="s">
        <v>17</v>
      </c>
      <c r="D5" s="1">
        <v>0.06207455062398891</v>
      </c>
      <c r="E5" s="1">
        <v>0.7311623096466064</v>
      </c>
      <c r="F5" s="1">
        <v>0.7167307138442993</v>
      </c>
      <c r="G5" s="1">
        <v>0.723874568939209</v>
      </c>
      <c r="H5" s="1">
        <v>0.4803229061553986</v>
      </c>
      <c r="I5" s="1">
        <v>0.14444444444444443</v>
      </c>
      <c r="J5" s="1">
        <v>0.18365287588294651</v>
      </c>
      <c r="K5" s="1">
        <v>0.25529767911200807</v>
      </c>
      <c r="L5" s="1">
        <v>0.0</v>
      </c>
      <c r="M5" s="1">
        <v>0.0</v>
      </c>
      <c r="N5" s="1">
        <v>0.9999999403953552</v>
      </c>
      <c r="O5" s="1">
        <v>0.5545380711555481</v>
      </c>
    </row>
    <row r="6">
      <c r="A6" s="1" t="s">
        <v>56</v>
      </c>
      <c r="B6" s="1" t="s">
        <v>16</v>
      </c>
      <c r="C6" s="1" t="s">
        <v>18</v>
      </c>
      <c r="D6" s="1">
        <v>0.06266801524210852</v>
      </c>
      <c r="E6" s="1">
        <v>0.737136721611023</v>
      </c>
      <c r="F6" s="1">
        <v>0.7205666303634644</v>
      </c>
      <c r="G6" s="1">
        <v>0.7287575006484985</v>
      </c>
      <c r="H6" s="1">
        <v>0.47935548841893255</v>
      </c>
      <c r="I6" s="1">
        <v>0.14112903225806453</v>
      </c>
      <c r="J6" s="1">
        <v>0.18429003021148035</v>
      </c>
      <c r="K6" s="1">
        <v>0.24974823766364548</v>
      </c>
      <c r="L6" s="1">
        <v>0.0</v>
      </c>
      <c r="M6" s="1">
        <v>0.0</v>
      </c>
      <c r="N6" s="1">
        <v>0.9999999403953552</v>
      </c>
      <c r="O6" s="1">
        <v>0.5545380711555481</v>
      </c>
    </row>
    <row r="7">
      <c r="A7" s="1" t="s">
        <v>56</v>
      </c>
      <c r="B7" s="1" t="s">
        <v>16</v>
      </c>
      <c r="C7" s="1" t="s">
        <v>19</v>
      </c>
      <c r="D7" s="1">
        <v>0.05428635707246909</v>
      </c>
      <c r="E7" s="1">
        <v>0.7312397956848145</v>
      </c>
      <c r="F7" s="1">
        <v>0.713051974773407</v>
      </c>
      <c r="G7" s="1">
        <v>0.72203129529953</v>
      </c>
      <c r="H7" s="1">
        <v>0.4671052631578948</v>
      </c>
      <c r="I7" s="1">
        <v>0.1279397930385701</v>
      </c>
      <c r="J7" s="1">
        <v>0.17481203007518797</v>
      </c>
      <c r="K7" s="1">
        <v>0.2565789473684211</v>
      </c>
      <c r="L7" s="1">
        <v>0.0</v>
      </c>
      <c r="M7" s="1">
        <v>0.0</v>
      </c>
      <c r="N7" s="1">
        <v>0.9999999403953552</v>
      </c>
      <c r="O7" s="1">
        <v>0.5545380711555481</v>
      </c>
    </row>
    <row r="8">
      <c r="A8" s="1" t="s">
        <v>57</v>
      </c>
      <c r="B8" s="1" t="s">
        <v>16</v>
      </c>
      <c r="C8" s="1" t="s">
        <v>17</v>
      </c>
      <c r="D8" s="1">
        <v>0.10199457309034554</v>
      </c>
      <c r="E8" s="1">
        <v>0.7517716884613037</v>
      </c>
      <c r="F8" s="1">
        <v>0.7481613159179688</v>
      </c>
      <c r="G8" s="1">
        <v>0.7499621510505676</v>
      </c>
      <c r="H8" s="1">
        <v>0.5145228215767634</v>
      </c>
      <c r="I8" s="1">
        <v>0.16095534787123572</v>
      </c>
      <c r="J8" s="1">
        <v>0.19502074688796678</v>
      </c>
      <c r="K8" s="1">
        <v>0.29045643153526973</v>
      </c>
      <c r="L8" s="1">
        <v>0.0</v>
      </c>
      <c r="M8" s="1">
        <v>0.0</v>
      </c>
      <c r="N8" s="1">
        <v>0.9999999403953552</v>
      </c>
      <c r="O8" s="1">
        <v>0.9999999403953552</v>
      </c>
    </row>
    <row r="9">
      <c r="A9" s="1" t="s">
        <v>57</v>
      </c>
      <c r="B9" s="1" t="s">
        <v>16</v>
      </c>
      <c r="C9" s="1" t="s">
        <v>18</v>
      </c>
      <c r="D9" s="1">
        <v>0.10349588411581717</v>
      </c>
      <c r="E9" s="1">
        <v>0.7569897770881653</v>
      </c>
      <c r="F9" s="1">
        <v>0.7503923177719116</v>
      </c>
      <c r="G9" s="1">
        <v>0.7536765336990356</v>
      </c>
      <c r="H9" s="1">
        <v>0.515527950310559</v>
      </c>
      <c r="I9" s="1">
        <v>0.16683937823834197</v>
      </c>
      <c r="J9" s="1">
        <v>0.19565217391304346</v>
      </c>
      <c r="K9" s="1">
        <v>0.28881987577639756</v>
      </c>
      <c r="L9" s="1">
        <v>0.0</v>
      </c>
      <c r="M9" s="1">
        <v>0.0</v>
      </c>
      <c r="N9" s="1">
        <v>0.9999999403953552</v>
      </c>
      <c r="O9" s="1">
        <v>0.9999999403953552</v>
      </c>
    </row>
    <row r="10">
      <c r="A10" s="1" t="s">
        <v>57</v>
      </c>
      <c r="B10" s="1" t="s">
        <v>16</v>
      </c>
      <c r="C10" s="1" t="s">
        <v>19</v>
      </c>
      <c r="D10" s="1">
        <v>0.09639470435895699</v>
      </c>
      <c r="E10" s="1">
        <v>0.7560957670211792</v>
      </c>
      <c r="F10" s="1">
        <v>0.741830587387085</v>
      </c>
      <c r="G10" s="1">
        <v>0.7488952279090881</v>
      </c>
      <c r="H10" s="1">
        <v>0.49373191899710706</v>
      </c>
      <c r="I10" s="1">
        <v>0.166023166023166</v>
      </c>
      <c r="J10" s="1">
        <v>0.18997107039537128</v>
      </c>
      <c r="K10" s="1">
        <v>0.28640308582449375</v>
      </c>
      <c r="L10" s="1">
        <v>0.0</v>
      </c>
      <c r="M10" s="1">
        <v>0.0</v>
      </c>
      <c r="N10" s="1">
        <v>0.9999999403953552</v>
      </c>
      <c r="O10" s="1">
        <v>0.9999999403953552</v>
      </c>
    </row>
    <row r="11">
      <c r="A11" s="1" t="s">
        <v>58</v>
      </c>
      <c r="B11" s="1" t="s">
        <v>16</v>
      </c>
      <c r="C11" s="1" t="s">
        <v>17</v>
      </c>
      <c r="D11" s="1">
        <v>0.05534937492436973</v>
      </c>
      <c r="E11" s="1">
        <v>0.7377815246582031</v>
      </c>
      <c r="F11" s="1">
        <v>0.7358982563018799</v>
      </c>
      <c r="G11" s="1">
        <v>0.736838698387146</v>
      </c>
      <c r="H11" s="1">
        <v>0.45812534664448146</v>
      </c>
      <c r="I11" s="1">
        <v>0.12215435868961688</v>
      </c>
      <c r="J11" s="1">
        <v>0.1808097615085968</v>
      </c>
      <c r="K11" s="1">
        <v>0.23849140321686077</v>
      </c>
      <c r="L11" s="1">
        <v>0.0</v>
      </c>
      <c r="M11" s="1">
        <v>0.0</v>
      </c>
      <c r="N11" s="1">
        <v>0.9999999403953552</v>
      </c>
      <c r="O11" s="1">
        <v>0.9999999403953552</v>
      </c>
    </row>
    <row r="12">
      <c r="A12" s="1" t="s">
        <v>58</v>
      </c>
      <c r="B12" s="1" t="s">
        <v>16</v>
      </c>
      <c r="C12" s="1" t="s">
        <v>18</v>
      </c>
      <c r="D12" s="1">
        <v>0.054485461767391864</v>
      </c>
      <c r="E12" s="1">
        <v>0.7403286695480347</v>
      </c>
      <c r="F12" s="1">
        <v>0.7397989630699158</v>
      </c>
      <c r="G12" s="1">
        <v>0.7400637269020081</v>
      </c>
      <c r="H12" s="1">
        <v>0.4593248478140565</v>
      </c>
      <c r="I12" s="1">
        <v>0.11745152354570638</v>
      </c>
      <c r="J12" s="1">
        <v>0.18483674598782512</v>
      </c>
      <c r="K12" s="1">
        <v>0.2490315439955728</v>
      </c>
      <c r="L12" s="1">
        <v>0.0</v>
      </c>
      <c r="M12" s="1">
        <v>0.0</v>
      </c>
      <c r="N12" s="1">
        <v>0.9999999403953552</v>
      </c>
      <c r="O12" s="1">
        <v>0.9999999403953552</v>
      </c>
    </row>
    <row r="13">
      <c r="A13" s="1" t="s">
        <v>58</v>
      </c>
      <c r="B13" s="1" t="s">
        <v>16</v>
      </c>
      <c r="C13" s="1" t="s">
        <v>19</v>
      </c>
      <c r="D13" s="1">
        <v>0.05441640871623879</v>
      </c>
      <c r="E13" s="1">
        <v>0.7367940545082092</v>
      </c>
      <c r="F13" s="1">
        <v>0.7311467528343201</v>
      </c>
      <c r="G13" s="1">
        <v>0.7339595556259155</v>
      </c>
      <c r="H13" s="1">
        <v>0.4350949204720369</v>
      </c>
      <c r="I13" s="1">
        <v>0.11504879301489469</v>
      </c>
      <c r="J13" s="1">
        <v>0.1806054386865059</v>
      </c>
      <c r="K13" s="1">
        <v>0.2483324781939456</v>
      </c>
      <c r="L13" s="1">
        <v>0.0</v>
      </c>
      <c r="M13" s="1">
        <v>0.0</v>
      </c>
      <c r="N13" s="1">
        <v>0.9999999403953552</v>
      </c>
      <c r="O13" s="1">
        <v>0.9999999403953552</v>
      </c>
    </row>
    <row r="14">
      <c r="A14" s="1" t="s">
        <v>59</v>
      </c>
      <c r="B14" s="1" t="s">
        <v>16</v>
      </c>
      <c r="C14" s="1" t="s">
        <v>17</v>
      </c>
      <c r="D14" s="1">
        <v>0.06309750255848669</v>
      </c>
      <c r="E14" s="1">
        <v>0.7333807945251465</v>
      </c>
      <c r="F14" s="1">
        <v>0.7291799783706665</v>
      </c>
      <c r="G14" s="1">
        <v>0.7312743663787842</v>
      </c>
      <c r="H14" s="1">
        <v>0.46267806267806266</v>
      </c>
      <c r="I14" s="1">
        <v>0.12892184826012548</v>
      </c>
      <c r="J14" s="1">
        <v>0.18233618233618232</v>
      </c>
      <c r="K14" s="1">
        <v>0.26096866096866095</v>
      </c>
      <c r="L14" s="1">
        <v>0.0</v>
      </c>
      <c r="M14" s="1">
        <v>0.0</v>
      </c>
      <c r="N14" s="1">
        <v>0.9999999403953552</v>
      </c>
      <c r="O14" s="1">
        <v>0.9999999403953552</v>
      </c>
    </row>
    <row r="15">
      <c r="A15" s="1" t="s">
        <v>59</v>
      </c>
      <c r="B15" s="1" t="s">
        <v>16</v>
      </c>
      <c r="C15" s="1" t="s">
        <v>18</v>
      </c>
      <c r="D15" s="1">
        <v>0.06720058980505773</v>
      </c>
      <c r="E15" s="1">
        <v>0.7340750694274902</v>
      </c>
      <c r="F15" s="1">
        <v>0.7282154560089111</v>
      </c>
      <c r="G15" s="1">
        <v>0.7311335206031799</v>
      </c>
      <c r="H15" s="1">
        <v>0.46503695281409896</v>
      </c>
      <c r="I15" s="1">
        <v>0.13545816733067728</v>
      </c>
      <c r="J15" s="1">
        <v>0.1841955656623081</v>
      </c>
      <c r="K15" s="1">
        <v>0.2637862421830586</v>
      </c>
      <c r="L15" s="1">
        <v>0.0</v>
      </c>
      <c r="M15" s="1">
        <v>0.0</v>
      </c>
      <c r="N15" s="1">
        <v>0.9999999403953552</v>
      </c>
      <c r="O15" s="1">
        <v>0.9999999403953552</v>
      </c>
    </row>
    <row r="16">
      <c r="A16" s="1" t="s">
        <v>59</v>
      </c>
      <c r="B16" s="1" t="s">
        <v>16</v>
      </c>
      <c r="C16" s="1" t="s">
        <v>19</v>
      </c>
      <c r="D16" s="1">
        <v>0.06456419557361492</v>
      </c>
      <c r="E16" s="1">
        <v>0.738587498664856</v>
      </c>
      <c r="F16" s="1">
        <v>0.7336949110031128</v>
      </c>
      <c r="G16" s="1">
        <v>0.7361330986022949</v>
      </c>
      <c r="H16" s="1">
        <v>0.4471330878485008</v>
      </c>
      <c r="I16" s="1">
        <v>0.14323328067403895</v>
      </c>
      <c r="J16" s="1">
        <v>0.1862177801157286</v>
      </c>
      <c r="K16" s="1">
        <v>0.2630194634402946</v>
      </c>
      <c r="L16" s="1">
        <v>0.0</v>
      </c>
      <c r="M16" s="1">
        <v>0.0</v>
      </c>
      <c r="N16" s="1">
        <v>0.9999999403953552</v>
      </c>
      <c r="O16" s="1">
        <v>0.9999999403953552</v>
      </c>
    </row>
    <row r="17">
      <c r="A17" s="1" t="s">
        <v>60</v>
      </c>
      <c r="B17" s="1" t="s">
        <v>16</v>
      </c>
      <c r="C17" s="1" t="s">
        <v>17</v>
      </c>
      <c r="D17" s="1">
        <v>0.0707656994772773</v>
      </c>
      <c r="E17" s="1">
        <v>0.7437586784362793</v>
      </c>
      <c r="F17" s="1">
        <v>0.7307406663894653</v>
      </c>
      <c r="G17" s="1">
        <v>0.7371922135353088</v>
      </c>
      <c r="H17" s="1">
        <v>0.5173535791757051</v>
      </c>
      <c r="I17" s="1">
        <v>0.1791530944625407</v>
      </c>
      <c r="J17" s="1">
        <v>0.18872017353579176</v>
      </c>
      <c r="K17" s="1">
        <v>0.2841648590021692</v>
      </c>
      <c r="L17" s="1">
        <v>0.0</v>
      </c>
      <c r="M17" s="1">
        <v>0.0</v>
      </c>
      <c r="N17" s="1">
        <v>0.9999999403953552</v>
      </c>
      <c r="O17" s="1">
        <v>0.9999999403953552</v>
      </c>
    </row>
    <row r="18">
      <c r="A18" s="1" t="s">
        <v>60</v>
      </c>
      <c r="B18" s="1" t="s">
        <v>16</v>
      </c>
      <c r="C18" s="1" t="s">
        <v>18</v>
      </c>
      <c r="D18" s="1">
        <v>0.06961911879111932</v>
      </c>
      <c r="E18" s="1">
        <v>0.7465602159500122</v>
      </c>
      <c r="F18" s="1">
        <v>0.7302542328834534</v>
      </c>
      <c r="G18" s="1">
        <v>0.7383171916007996</v>
      </c>
      <c r="H18" s="1">
        <v>0.5183982683982684</v>
      </c>
      <c r="I18" s="1">
        <v>0.17118093174431204</v>
      </c>
      <c r="J18" s="1">
        <v>0.18614718614718614</v>
      </c>
      <c r="K18" s="1">
        <v>0.2824675324675325</v>
      </c>
      <c r="L18" s="1">
        <v>0.0</v>
      </c>
      <c r="M18" s="1">
        <v>0.0</v>
      </c>
      <c r="N18" s="1">
        <v>0.9999999403953552</v>
      </c>
      <c r="O18" s="1">
        <v>0.9999999403953552</v>
      </c>
    </row>
    <row r="19">
      <c r="A19" s="1" t="s">
        <v>60</v>
      </c>
      <c r="B19" s="1" t="s">
        <v>16</v>
      </c>
      <c r="C19" s="1" t="s">
        <v>19</v>
      </c>
      <c r="D19" s="1">
        <v>0.06036187001114117</v>
      </c>
      <c r="E19" s="1">
        <v>0.7471856474876404</v>
      </c>
      <c r="F19" s="1">
        <v>0.7358137369155884</v>
      </c>
      <c r="G19" s="1">
        <v>0.741456151008606</v>
      </c>
      <c r="H19" s="1">
        <v>0.49849246231155786</v>
      </c>
      <c r="I19" s="1">
        <v>0.17002012072434608</v>
      </c>
      <c r="J19" s="1">
        <v>0.1809045226130653</v>
      </c>
      <c r="K19" s="1">
        <v>0.27537688442211056</v>
      </c>
      <c r="L19" s="1">
        <v>0.0</v>
      </c>
      <c r="M19" s="1">
        <v>0.0</v>
      </c>
      <c r="N19" s="1">
        <v>0.9999999403953552</v>
      </c>
      <c r="O19" s="1">
        <v>0.9999999403953552</v>
      </c>
    </row>
    <row r="21" ht="15.75" customHeight="1">
      <c r="C21" s="2"/>
    </row>
    <row r="22" ht="15.75" customHeight="1"/>
    <row r="23" ht="15.75" customHeight="1"/>
    <row r="24" ht="15.75" customHeight="1"/>
    <row r="25" ht="15.75" customHeight="1">
      <c r="B2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3.43"/>
    <col customWidth="1" min="5" max="5" width="21.86"/>
    <col customWidth="1" min="6" max="6" width="18.86"/>
    <col customWidth="1" min="7" max="7" width="15.57"/>
    <col customWidth="1" min="8" max="10" width="12.0"/>
    <col customWidth="1" min="11" max="11" width="13.0"/>
    <col customWidth="1" min="12" max="12" width="18.0"/>
    <col customWidth="1" min="13" max="13" width="21.71"/>
    <col customWidth="1" min="14" max="14" width="13.57"/>
    <col customWidth="1" min="15" max="15" width="17.29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29</v>
      </c>
      <c r="D2" s="1">
        <v>0.06646623444698056</v>
      </c>
      <c r="E2" s="1">
        <v>0.7449965476989746</v>
      </c>
      <c r="F2" s="1">
        <v>0.735444962978363</v>
      </c>
      <c r="G2" s="1">
        <v>0.7401899099349976</v>
      </c>
      <c r="H2" s="1">
        <v>0.4758454106280193</v>
      </c>
      <c r="I2" s="1">
        <v>0.13905683192261187</v>
      </c>
      <c r="J2" s="1">
        <v>0.19323671497584538</v>
      </c>
      <c r="K2" s="1">
        <v>0.2669082125603865</v>
      </c>
      <c r="L2" s="1">
        <v>0.0</v>
      </c>
      <c r="M2" s="1">
        <v>0.0</v>
      </c>
      <c r="N2" s="1">
        <v>0.9999999403953552</v>
      </c>
      <c r="O2" s="1">
        <v>0.8271334767341614</v>
      </c>
    </row>
    <row r="3">
      <c r="A3" s="1" t="s">
        <v>15</v>
      </c>
      <c r="B3" s="1" t="s">
        <v>16</v>
      </c>
      <c r="C3" s="1" t="s">
        <v>30</v>
      </c>
      <c r="D3" s="1">
        <v>0.04299475459800284</v>
      </c>
      <c r="E3" s="1">
        <v>0.7420433759689331</v>
      </c>
      <c r="F3" s="1">
        <v>0.7358570098876953</v>
      </c>
      <c r="G3" s="1">
        <v>0.7389371991157532</v>
      </c>
      <c r="H3" s="1">
        <v>0.44266666666666665</v>
      </c>
      <c r="I3" s="1">
        <v>0.13217623497997327</v>
      </c>
      <c r="J3" s="1">
        <v>0.17733333333333332</v>
      </c>
      <c r="K3" s="1">
        <v>0.25199999999999995</v>
      </c>
      <c r="L3" s="1">
        <v>0.0</v>
      </c>
      <c r="M3" s="1">
        <v>0.0</v>
      </c>
      <c r="N3" s="1">
        <v>0.7693519592285156</v>
      </c>
      <c r="O3" s="1">
        <v>0.8153265714645386</v>
      </c>
    </row>
    <row r="4">
      <c r="A4" s="1" t="s">
        <v>15</v>
      </c>
      <c r="B4" s="1" t="s">
        <v>16</v>
      </c>
      <c r="C4" s="1" t="s">
        <v>31</v>
      </c>
      <c r="D4" s="1">
        <v>0.05260459007909754</v>
      </c>
      <c r="E4" s="1">
        <v>0.7479007840156555</v>
      </c>
      <c r="F4" s="1">
        <v>0.7263549566268921</v>
      </c>
      <c r="G4" s="1">
        <v>0.7369704246520996</v>
      </c>
      <c r="H4" s="1">
        <v>0.41397849462365593</v>
      </c>
      <c r="I4" s="1">
        <v>0.11978465679676985</v>
      </c>
      <c r="J4" s="1">
        <v>0.1814516129032258</v>
      </c>
      <c r="K4" s="1">
        <v>0.23521505376344087</v>
      </c>
      <c r="L4" s="1">
        <v>0.0</v>
      </c>
      <c r="M4" s="1">
        <v>0.0</v>
      </c>
      <c r="N4" s="1">
        <v>0.9999999403953552</v>
      </c>
      <c r="O4" s="1">
        <v>0.8271334767341614</v>
      </c>
    </row>
    <row r="5">
      <c r="A5" s="1" t="s">
        <v>15</v>
      </c>
      <c r="B5" s="1" t="s">
        <v>16</v>
      </c>
      <c r="C5" s="1" t="s">
        <v>32</v>
      </c>
      <c r="D5" s="1">
        <v>0.06213828964392003</v>
      </c>
      <c r="E5" s="1">
        <v>0.7388505339622498</v>
      </c>
      <c r="F5" s="1">
        <v>0.732083797454834</v>
      </c>
      <c r="G5" s="1">
        <v>0.7354515790939331</v>
      </c>
      <c r="H5" s="1">
        <v>0.486119679210364</v>
      </c>
      <c r="I5" s="1">
        <v>0.13094502779493514</v>
      </c>
      <c r="J5" s="1">
        <v>0.19370758790869833</v>
      </c>
      <c r="K5" s="1">
        <v>0.23935842072794572</v>
      </c>
      <c r="L5" s="1">
        <v>0.0</v>
      </c>
      <c r="M5" s="1">
        <v>0.0</v>
      </c>
      <c r="N5" s="1">
        <v>0.9999999403953552</v>
      </c>
      <c r="O5" s="1">
        <v>0.8271334767341614</v>
      </c>
    </row>
    <row r="6">
      <c r="A6" s="1" t="s">
        <v>15</v>
      </c>
      <c r="B6" s="1" t="s">
        <v>16</v>
      </c>
      <c r="C6" s="1" t="s">
        <v>33</v>
      </c>
      <c r="D6" s="1">
        <v>0.055553639005570345</v>
      </c>
      <c r="E6" s="1">
        <v>0.7388505339622498</v>
      </c>
      <c r="F6" s="1">
        <v>0.732083797454834</v>
      </c>
      <c r="G6" s="1">
        <v>0.7354515790939331</v>
      </c>
      <c r="H6" s="1">
        <v>0.4736164736164736</v>
      </c>
      <c r="I6" s="1">
        <v>0.1327319587628866</v>
      </c>
      <c r="J6" s="1">
        <v>0.18532818532818532</v>
      </c>
      <c r="K6" s="1">
        <v>0.23294723294723294</v>
      </c>
      <c r="L6" s="1">
        <v>0.0</v>
      </c>
      <c r="M6" s="1">
        <v>0.0</v>
      </c>
      <c r="N6" s="1">
        <v>0.9999999403953552</v>
      </c>
      <c r="O6" s="1">
        <v>0.8271334767341614</v>
      </c>
    </row>
    <row r="7">
      <c r="A7" s="1" t="s">
        <v>15</v>
      </c>
      <c r="B7" s="1" t="s">
        <v>16</v>
      </c>
      <c r="C7" s="1" t="s">
        <v>34</v>
      </c>
      <c r="D7" s="1">
        <v>0.0453730884160707</v>
      </c>
      <c r="E7" s="1">
        <v>0.7425742149353027</v>
      </c>
      <c r="F7" s="1">
        <v>0.7351837158203125</v>
      </c>
      <c r="G7" s="1">
        <v>0.7388604879379272</v>
      </c>
      <c r="H7" s="1">
        <v>0.464524765729585</v>
      </c>
      <c r="I7" s="1">
        <v>0.13538873994638068</v>
      </c>
      <c r="J7" s="1">
        <v>0.1834002677376171</v>
      </c>
      <c r="K7" s="1">
        <v>0.2463186077643909</v>
      </c>
      <c r="L7" s="1">
        <v>0.0</v>
      </c>
      <c r="M7" s="1">
        <v>0.0</v>
      </c>
      <c r="N7" s="1">
        <v>0.9999999403953552</v>
      </c>
      <c r="O7" s="1">
        <v>0.8271334767341614</v>
      </c>
    </row>
    <row r="8">
      <c r="A8" s="1" t="s">
        <v>56</v>
      </c>
      <c r="B8" s="1" t="s">
        <v>16</v>
      </c>
      <c r="C8" s="1" t="s">
        <v>29</v>
      </c>
      <c r="D8" s="1">
        <v>0.040185484295633275</v>
      </c>
      <c r="E8" s="1">
        <v>0.7201623916625977</v>
      </c>
      <c r="F8" s="1">
        <v>0.7000766396522522</v>
      </c>
      <c r="G8" s="1">
        <v>0.7099775075912476</v>
      </c>
      <c r="H8" s="1">
        <v>0.43061605476042314</v>
      </c>
      <c r="I8" s="1">
        <v>0.10841121495327102</v>
      </c>
      <c r="J8" s="1">
        <v>0.18419415059116365</v>
      </c>
      <c r="K8" s="1">
        <v>0.25015556938394523</v>
      </c>
      <c r="L8" s="1">
        <v>0.0</v>
      </c>
      <c r="M8" s="1">
        <v>0.0</v>
      </c>
      <c r="N8" s="1">
        <v>0.9999999403953552</v>
      </c>
      <c r="O8" s="1">
        <v>0.5545380711555481</v>
      </c>
    </row>
    <row r="9">
      <c r="A9" s="1" t="s">
        <v>56</v>
      </c>
      <c r="B9" s="1" t="s">
        <v>16</v>
      </c>
      <c r="C9" s="1" t="s">
        <v>30</v>
      </c>
      <c r="D9" s="1">
        <v>0.0341904752770406</v>
      </c>
      <c r="E9" s="1">
        <v>0.7186017036437988</v>
      </c>
      <c r="F9" s="1">
        <v>0.6985806226730347</v>
      </c>
      <c r="G9" s="1">
        <v>0.7084497213363647</v>
      </c>
      <c r="H9" s="1">
        <v>0.39972432804962094</v>
      </c>
      <c r="I9" s="1">
        <v>0.10213940648723258</v>
      </c>
      <c r="J9" s="1">
        <v>0.18056512749827705</v>
      </c>
      <c r="K9" s="1">
        <v>0.22742935906271536</v>
      </c>
      <c r="L9" s="1">
        <v>0.0</v>
      </c>
      <c r="M9" s="1">
        <v>0.0</v>
      </c>
      <c r="N9" s="1">
        <v>0.7693519592285156</v>
      </c>
      <c r="O9" s="1">
        <v>0.48749488592147827</v>
      </c>
    </row>
    <row r="10">
      <c r="A10" s="1" t="s">
        <v>56</v>
      </c>
      <c r="B10" s="1" t="s">
        <v>16</v>
      </c>
      <c r="C10" s="1" t="s">
        <v>31</v>
      </c>
      <c r="D10" s="1">
        <v>0.03763141529492282</v>
      </c>
      <c r="E10" s="1">
        <v>0.7247536182403564</v>
      </c>
      <c r="F10" s="1">
        <v>0.6948766708374023</v>
      </c>
      <c r="G10" s="1">
        <v>0.7095007300376892</v>
      </c>
      <c r="H10" s="1">
        <v>0.39193884642112575</v>
      </c>
      <c r="I10" s="1">
        <v>0.10716771050800279</v>
      </c>
      <c r="J10" s="1">
        <v>0.1834607366226546</v>
      </c>
      <c r="K10" s="1">
        <v>0.2237665045170257</v>
      </c>
      <c r="L10" s="1">
        <v>0.0</v>
      </c>
      <c r="M10" s="1">
        <v>0.0</v>
      </c>
      <c r="N10" s="1">
        <v>0.9999999403953552</v>
      </c>
      <c r="O10" s="1">
        <v>0.5545380711555481</v>
      </c>
    </row>
    <row r="11">
      <c r="A11" s="1" t="s">
        <v>56</v>
      </c>
      <c r="B11" s="1" t="s">
        <v>16</v>
      </c>
      <c r="C11" s="1" t="s">
        <v>32</v>
      </c>
      <c r="D11" s="1">
        <v>0.023412627970701472</v>
      </c>
      <c r="E11" s="1">
        <v>0.7151515483856201</v>
      </c>
      <c r="F11" s="1">
        <v>0.6936314105987549</v>
      </c>
      <c r="G11" s="1">
        <v>0.704227089881897</v>
      </c>
      <c r="H11" s="1">
        <v>0.46055979643765904</v>
      </c>
      <c r="I11" s="1">
        <v>0.10573248407643313</v>
      </c>
      <c r="J11" s="1">
        <v>0.1984732824427481</v>
      </c>
      <c r="K11" s="1">
        <v>0.23536895674300254</v>
      </c>
      <c r="L11" s="1">
        <v>0.0</v>
      </c>
      <c r="M11" s="1">
        <v>0.0</v>
      </c>
      <c r="N11" s="1">
        <v>0.9999999403953552</v>
      </c>
      <c r="O11" s="1">
        <v>0.5545380711555481</v>
      </c>
    </row>
    <row r="12">
      <c r="A12" s="1" t="s">
        <v>56</v>
      </c>
      <c r="B12" s="1" t="s">
        <v>16</v>
      </c>
      <c r="C12" s="1" t="s">
        <v>33</v>
      </c>
      <c r="D12" s="1">
        <v>0.021649836105082264</v>
      </c>
      <c r="E12" s="1">
        <v>0.7151515483856201</v>
      </c>
      <c r="F12" s="1">
        <v>0.6936314105987549</v>
      </c>
      <c r="G12" s="1">
        <v>0.704227089881897</v>
      </c>
      <c r="H12" s="1">
        <v>0.4504983388704319</v>
      </c>
      <c r="I12" s="1">
        <v>0.10645375914836994</v>
      </c>
      <c r="J12" s="1">
        <v>0.20066445182724252</v>
      </c>
      <c r="K12" s="1">
        <v>0.2272425249169435</v>
      </c>
      <c r="L12" s="1">
        <v>0.0</v>
      </c>
      <c r="M12" s="1">
        <v>0.0</v>
      </c>
      <c r="N12" s="1">
        <v>0.9999999403953552</v>
      </c>
      <c r="O12" s="1">
        <v>0.5545380711555481</v>
      </c>
    </row>
    <row r="13">
      <c r="A13" s="1" t="s">
        <v>56</v>
      </c>
      <c r="B13" s="1" t="s">
        <v>16</v>
      </c>
      <c r="C13" s="1" t="s">
        <v>34</v>
      </c>
      <c r="D13" s="1">
        <v>0.018599705620876286</v>
      </c>
      <c r="E13" s="1">
        <v>0.7199512720108032</v>
      </c>
      <c r="F13" s="1">
        <v>0.6979568600654602</v>
      </c>
      <c r="G13" s="1">
        <v>0.7087834477424622</v>
      </c>
      <c r="H13" s="1">
        <v>0.4373702422145329</v>
      </c>
      <c r="I13" s="1">
        <v>0.10672210672210673</v>
      </c>
      <c r="J13" s="1">
        <v>0.19515570934256057</v>
      </c>
      <c r="K13" s="1">
        <v>0.23667820069204154</v>
      </c>
      <c r="L13" s="1">
        <v>0.0</v>
      </c>
      <c r="M13" s="1">
        <v>0.0</v>
      </c>
      <c r="N13" s="1">
        <v>0.9999999403953552</v>
      </c>
      <c r="O13" s="1">
        <v>0.5545380711555481</v>
      </c>
    </row>
    <row r="14">
      <c r="A14" s="1" t="s">
        <v>57</v>
      </c>
      <c r="B14" s="1" t="s">
        <v>16</v>
      </c>
      <c r="C14" s="1" t="s">
        <v>29</v>
      </c>
      <c r="D14" s="1">
        <v>0.07296654213456329</v>
      </c>
      <c r="E14" s="1">
        <v>0.7609703540802002</v>
      </c>
      <c r="F14" s="1">
        <v>0.7428248524665833</v>
      </c>
      <c r="G14" s="1">
        <v>0.7517881393432617</v>
      </c>
      <c r="H14" s="1">
        <v>0.5009658725048294</v>
      </c>
      <c r="I14" s="1">
        <v>0.1289490651192779</v>
      </c>
      <c r="J14" s="1">
        <v>0.21249195106245977</v>
      </c>
      <c r="K14" s="1">
        <v>0.2807469414037347</v>
      </c>
      <c r="L14" s="1">
        <v>0.0</v>
      </c>
      <c r="M14" s="1">
        <v>0.0</v>
      </c>
      <c r="N14" s="1">
        <v>0.9999999403953552</v>
      </c>
      <c r="O14" s="1">
        <v>0.9999999403953552</v>
      </c>
    </row>
    <row r="15">
      <c r="A15" s="1" t="s">
        <v>57</v>
      </c>
      <c r="B15" s="1" t="s">
        <v>16</v>
      </c>
      <c r="C15" s="1" t="s">
        <v>30</v>
      </c>
      <c r="D15" s="1">
        <v>0.05742840057512985</v>
      </c>
      <c r="E15" s="1">
        <v>0.7599655389785767</v>
      </c>
      <c r="F15" s="1">
        <v>0.7415562272071838</v>
      </c>
      <c r="G15" s="1">
        <v>0.750648021697998</v>
      </c>
      <c r="H15" s="1">
        <v>0.4638511095204008</v>
      </c>
      <c r="I15" s="1">
        <v>0.12903225806451613</v>
      </c>
      <c r="J15" s="1">
        <v>0.1875447387258411</v>
      </c>
      <c r="K15" s="1">
        <v>0.2662848962061561</v>
      </c>
      <c r="L15" s="1">
        <v>0.0</v>
      </c>
      <c r="M15" s="1">
        <v>0.0</v>
      </c>
      <c r="N15" s="1">
        <v>0.7693519592285156</v>
      </c>
      <c r="O15" s="1">
        <v>0.7693519592285156</v>
      </c>
    </row>
    <row r="16">
      <c r="A16" s="1" t="s">
        <v>57</v>
      </c>
      <c r="B16" s="1" t="s">
        <v>16</v>
      </c>
      <c r="C16" s="1" t="s">
        <v>31</v>
      </c>
      <c r="D16" s="1">
        <v>0.06391466027568483</v>
      </c>
      <c r="E16" s="1">
        <v>0.7717890739440918</v>
      </c>
      <c r="F16" s="1">
        <v>0.7314666509628296</v>
      </c>
      <c r="G16" s="1">
        <v>0.7510870099067688</v>
      </c>
      <c r="H16" s="1">
        <v>0.45487364620938625</v>
      </c>
      <c r="I16" s="1">
        <v>0.14027476500361533</v>
      </c>
      <c r="J16" s="1">
        <v>0.21371841155234658</v>
      </c>
      <c r="K16" s="1">
        <v>0.25415162454873647</v>
      </c>
      <c r="L16" s="1">
        <v>0.0</v>
      </c>
      <c r="M16" s="1">
        <v>0.0</v>
      </c>
      <c r="N16" s="1">
        <v>0.9999999403953552</v>
      </c>
      <c r="O16" s="1">
        <v>0.9999999403953552</v>
      </c>
    </row>
    <row r="17">
      <c r="A17" s="1" t="s">
        <v>57</v>
      </c>
      <c r="B17" s="1" t="s">
        <v>16</v>
      </c>
      <c r="C17" s="1" t="s">
        <v>32</v>
      </c>
      <c r="D17" s="1">
        <v>0.07264104421146891</v>
      </c>
      <c r="E17" s="1">
        <v>0.7436800003051758</v>
      </c>
      <c r="F17" s="1">
        <v>0.7297497391700745</v>
      </c>
      <c r="G17" s="1">
        <v>0.7366490364074707</v>
      </c>
      <c r="H17" s="1">
        <v>0.4940711462450593</v>
      </c>
      <c r="I17" s="1">
        <v>0.1345646437994723</v>
      </c>
      <c r="J17" s="1">
        <v>0.20553359683794467</v>
      </c>
      <c r="K17" s="1">
        <v>0.24374176548089593</v>
      </c>
      <c r="L17" s="1">
        <v>0.0</v>
      </c>
      <c r="M17" s="1">
        <v>0.0</v>
      </c>
      <c r="N17" s="1">
        <v>0.9999999403953552</v>
      </c>
      <c r="O17" s="1">
        <v>0.9999999403953552</v>
      </c>
    </row>
    <row r="18">
      <c r="A18" s="1" t="s">
        <v>57</v>
      </c>
      <c r="B18" s="1" t="s">
        <v>16</v>
      </c>
      <c r="C18" s="1" t="s">
        <v>33</v>
      </c>
      <c r="D18" s="1">
        <v>0.05415577486739405</v>
      </c>
      <c r="E18" s="1">
        <v>0.7436800003051758</v>
      </c>
      <c r="F18" s="1">
        <v>0.7297497391700745</v>
      </c>
      <c r="G18" s="1">
        <v>0.7366490364074707</v>
      </c>
      <c r="H18" s="1">
        <v>0.4838042729152309</v>
      </c>
      <c r="I18" s="1">
        <v>0.12698412698412698</v>
      </c>
      <c r="J18" s="1">
        <v>0.19159200551343902</v>
      </c>
      <c r="K18" s="1">
        <v>0.23018607856650586</v>
      </c>
      <c r="L18" s="1">
        <v>0.0</v>
      </c>
      <c r="M18" s="1">
        <v>0.0</v>
      </c>
      <c r="N18" s="1">
        <v>0.9999999403953552</v>
      </c>
      <c r="O18" s="1">
        <v>0.9999999403953552</v>
      </c>
    </row>
    <row r="19">
      <c r="A19" s="1" t="s">
        <v>57</v>
      </c>
      <c r="B19" s="1" t="s">
        <v>16</v>
      </c>
      <c r="C19" s="1" t="s">
        <v>34</v>
      </c>
      <c r="D19" s="1">
        <v>0.04804373164256967</v>
      </c>
      <c r="E19" s="1">
        <v>0.7445049285888672</v>
      </c>
      <c r="F19" s="1">
        <v>0.7309196591377258</v>
      </c>
      <c r="G19" s="1">
        <v>0.7376497983932495</v>
      </c>
      <c r="H19" s="1">
        <v>0.4701653486700216</v>
      </c>
      <c r="I19" s="1">
        <v>0.12958963282937366</v>
      </c>
      <c r="J19" s="1">
        <v>0.18260244428468728</v>
      </c>
      <c r="K19" s="1">
        <v>0.23005032350826746</v>
      </c>
      <c r="L19" s="1">
        <v>0.0</v>
      </c>
      <c r="M19" s="1">
        <v>0.0</v>
      </c>
      <c r="N19" s="1">
        <v>0.9999999403953552</v>
      </c>
      <c r="O19" s="1">
        <v>0.9999999403953552</v>
      </c>
    </row>
    <row r="20">
      <c r="A20" s="1" t="s">
        <v>58</v>
      </c>
      <c r="B20" s="1" t="s">
        <v>16</v>
      </c>
      <c r="C20" s="1" t="s">
        <v>29</v>
      </c>
      <c r="D20" s="1">
        <v>0.06187351217933241</v>
      </c>
      <c r="E20" s="1">
        <v>0.7361167669296265</v>
      </c>
      <c r="F20" s="1">
        <v>0.7280188798904419</v>
      </c>
      <c r="G20" s="1">
        <v>0.7320454120635986</v>
      </c>
      <c r="H20" s="1">
        <v>0.46078431372549017</v>
      </c>
      <c r="I20" s="1">
        <v>0.11921458625525946</v>
      </c>
      <c r="J20" s="1">
        <v>0.18907563025210083</v>
      </c>
      <c r="K20" s="1">
        <v>0.26330532212885155</v>
      </c>
      <c r="L20" s="1">
        <v>0.0</v>
      </c>
      <c r="M20" s="1">
        <v>0.0</v>
      </c>
      <c r="N20" s="1">
        <v>0.9999999403953552</v>
      </c>
      <c r="O20" s="1">
        <v>0.9999999403953552</v>
      </c>
    </row>
    <row r="21" ht="15.75" customHeight="1">
      <c r="A21" s="1" t="s">
        <v>58</v>
      </c>
      <c r="B21" s="1" t="s">
        <v>16</v>
      </c>
      <c r="C21" s="1" t="s">
        <v>30</v>
      </c>
      <c r="D21" s="1">
        <v>0.05825608684513655</v>
      </c>
      <c r="E21" s="1">
        <v>0.7358219027519226</v>
      </c>
      <c r="F21" s="1">
        <v>0.7272068858146667</v>
      </c>
      <c r="G21" s="1">
        <v>0.7314890027046204</v>
      </c>
      <c r="H21" s="1">
        <v>0.45597484276729566</v>
      </c>
      <c r="I21" s="1">
        <v>0.12440944881889762</v>
      </c>
      <c r="J21" s="1">
        <v>0.190251572327044</v>
      </c>
      <c r="K21" s="1">
        <v>0.25157232704402516</v>
      </c>
      <c r="L21" s="1">
        <v>0.0</v>
      </c>
      <c r="M21" s="1">
        <v>0.0</v>
      </c>
      <c r="N21" s="1">
        <v>0.7693519592285156</v>
      </c>
      <c r="O21" s="1">
        <v>0.7693519592285156</v>
      </c>
    </row>
    <row r="22" ht="15.75" customHeight="1">
      <c r="A22" s="1" t="s">
        <v>58</v>
      </c>
      <c r="B22" s="1" t="s">
        <v>16</v>
      </c>
      <c r="C22" s="1" t="s">
        <v>31</v>
      </c>
      <c r="D22" s="1">
        <v>0.06355853791508873</v>
      </c>
      <c r="E22" s="1">
        <v>0.7458691000938416</v>
      </c>
      <c r="F22" s="1">
        <v>0.7197973132133484</v>
      </c>
      <c r="G22" s="1">
        <v>0.7326013445854187</v>
      </c>
      <c r="H22" s="1">
        <v>0.426984126984127</v>
      </c>
      <c r="I22" s="1">
        <v>0.12082670906200318</v>
      </c>
      <c r="J22" s="1">
        <v>0.18888888888888888</v>
      </c>
      <c r="K22" s="1">
        <v>0.20634920634920637</v>
      </c>
      <c r="L22" s="1">
        <v>0.0</v>
      </c>
      <c r="M22" s="1">
        <v>0.0</v>
      </c>
      <c r="N22" s="1">
        <v>0.9999999403953552</v>
      </c>
      <c r="O22" s="1">
        <v>0.9999999403953552</v>
      </c>
    </row>
    <row r="23" ht="15.75" customHeight="1">
      <c r="A23" s="1" t="s">
        <v>58</v>
      </c>
      <c r="B23" s="1" t="s">
        <v>16</v>
      </c>
      <c r="C23" s="1" t="s">
        <v>32</v>
      </c>
      <c r="D23" s="1">
        <v>0.04073393334332752</v>
      </c>
      <c r="E23" s="1">
        <v>0.7246467471122742</v>
      </c>
      <c r="F23" s="1">
        <v>0.7147942185401917</v>
      </c>
      <c r="G23" s="1">
        <v>0.71968674659729</v>
      </c>
      <c r="H23" s="1">
        <v>0.45369705671213206</v>
      </c>
      <c r="I23" s="1">
        <v>0.10352264557872036</v>
      </c>
      <c r="J23" s="1">
        <v>0.19095477386934673</v>
      </c>
      <c r="K23" s="1">
        <v>0.2613065326633166</v>
      </c>
      <c r="L23" s="1">
        <v>0.0</v>
      </c>
      <c r="M23" s="1">
        <v>0.0</v>
      </c>
      <c r="N23" s="1">
        <v>0.9999999403953552</v>
      </c>
      <c r="O23" s="1">
        <v>0.9999999403953552</v>
      </c>
    </row>
    <row r="24" ht="15.75" customHeight="1">
      <c r="A24" s="1" t="s">
        <v>58</v>
      </c>
      <c r="B24" s="1" t="s">
        <v>16</v>
      </c>
      <c r="C24" s="1" t="s">
        <v>33</v>
      </c>
      <c r="D24" s="1">
        <v>0.039075843916222555</v>
      </c>
      <c r="E24" s="1">
        <v>0.7246467471122742</v>
      </c>
      <c r="F24" s="1">
        <v>0.7147942185401917</v>
      </c>
      <c r="G24" s="1">
        <v>0.71968674659729</v>
      </c>
      <c r="H24" s="1">
        <v>0.45248868778280543</v>
      </c>
      <c r="I24" s="1">
        <v>0.10574018126888217</v>
      </c>
      <c r="J24" s="1">
        <v>0.1885369532428356</v>
      </c>
      <c r="K24" s="1">
        <v>0.25641025641025644</v>
      </c>
      <c r="L24" s="1">
        <v>0.0</v>
      </c>
      <c r="M24" s="1">
        <v>0.0</v>
      </c>
      <c r="N24" s="1">
        <v>0.9999999403953552</v>
      </c>
      <c r="O24" s="1">
        <v>0.9999999403953552</v>
      </c>
    </row>
    <row r="25" ht="15.75" customHeight="1">
      <c r="A25" s="1" t="s">
        <v>58</v>
      </c>
      <c r="B25" s="1" t="s">
        <v>16</v>
      </c>
      <c r="C25" s="1" t="s">
        <v>34</v>
      </c>
      <c r="D25" s="1">
        <v>0.03254742230728028</v>
      </c>
      <c r="E25" s="1">
        <v>0.7278452515602112</v>
      </c>
      <c r="F25" s="1">
        <v>0.7156917452812195</v>
      </c>
      <c r="G25" s="1">
        <v>0.7217172980308533</v>
      </c>
      <c r="H25" s="1">
        <v>0.44075829383886256</v>
      </c>
      <c r="I25" s="1">
        <v>0.10126582278481013</v>
      </c>
      <c r="J25" s="1">
        <v>0.1879936808846761</v>
      </c>
      <c r="K25" s="1">
        <v>0.24328593996840442</v>
      </c>
      <c r="L25" s="1">
        <v>0.0</v>
      </c>
      <c r="M25" s="1">
        <v>0.0</v>
      </c>
      <c r="N25" s="1">
        <v>0.9999999403953552</v>
      </c>
      <c r="O25" s="1">
        <v>0.9999999403953552</v>
      </c>
    </row>
    <row r="26" ht="15.75" customHeight="1">
      <c r="A26" s="1" t="s">
        <v>59</v>
      </c>
      <c r="B26" s="1" t="s">
        <v>16</v>
      </c>
      <c r="C26" s="1" t="s">
        <v>29</v>
      </c>
      <c r="D26" s="1">
        <v>0.08439635494575806</v>
      </c>
      <c r="E26" s="1">
        <v>0.7463844418525696</v>
      </c>
      <c r="F26" s="1">
        <v>0.7293275594711304</v>
      </c>
      <c r="G26" s="1">
        <v>0.7377573847770691</v>
      </c>
      <c r="H26" s="1">
        <v>0.47101449275362317</v>
      </c>
      <c r="I26" s="1">
        <v>0.14513788098693758</v>
      </c>
      <c r="J26" s="1">
        <v>0.19130434782608693</v>
      </c>
      <c r="K26" s="1">
        <v>0.2782608695652174</v>
      </c>
      <c r="L26" s="1">
        <v>0.0</v>
      </c>
      <c r="M26" s="1">
        <v>0.0</v>
      </c>
      <c r="N26" s="1">
        <v>0.9999999403953552</v>
      </c>
      <c r="O26" s="1">
        <v>0.9999999403953552</v>
      </c>
    </row>
    <row r="27" ht="15.75" customHeight="1">
      <c r="A27" s="1" t="s">
        <v>59</v>
      </c>
      <c r="B27" s="1" t="s">
        <v>16</v>
      </c>
      <c r="C27" s="1" t="s">
        <v>30</v>
      </c>
      <c r="D27" s="1">
        <v>0.07628443956369929</v>
      </c>
      <c r="E27" s="1">
        <v>0.7468957901000977</v>
      </c>
      <c r="F27" s="1">
        <v>0.7260987758636475</v>
      </c>
      <c r="G27" s="1">
        <v>0.7363504767417908</v>
      </c>
      <c r="H27" s="1">
        <v>0.4722222222222222</v>
      </c>
      <c r="I27" s="1">
        <v>0.15220949263502453</v>
      </c>
      <c r="J27" s="1">
        <v>0.19934640522875816</v>
      </c>
      <c r="K27" s="1">
        <v>0.2761437908496732</v>
      </c>
      <c r="L27" s="1">
        <v>0.0</v>
      </c>
      <c r="M27" s="1">
        <v>0.0</v>
      </c>
      <c r="N27" s="1">
        <v>0.7693519592285156</v>
      </c>
      <c r="O27" s="1">
        <v>0.7693519592285156</v>
      </c>
    </row>
    <row r="28" ht="15.75" customHeight="1">
      <c r="A28" s="1" t="s">
        <v>59</v>
      </c>
      <c r="B28" s="1" t="s">
        <v>16</v>
      </c>
      <c r="C28" s="1" t="s">
        <v>31</v>
      </c>
      <c r="D28" s="1">
        <v>0.07701184290154624</v>
      </c>
      <c r="E28" s="1">
        <v>0.74605393409729</v>
      </c>
      <c r="F28" s="1">
        <v>0.7054548263549805</v>
      </c>
      <c r="G28" s="1">
        <v>0.7251865863800049</v>
      </c>
      <c r="H28" s="1">
        <v>0.4438943894389439</v>
      </c>
      <c r="I28" s="1">
        <v>0.12892561983471074</v>
      </c>
      <c r="J28" s="1">
        <v>0.20132013201320131</v>
      </c>
      <c r="K28" s="1">
        <v>0.2623762376237624</v>
      </c>
      <c r="L28" s="1">
        <v>0.0</v>
      </c>
      <c r="M28" s="1">
        <v>0.0</v>
      </c>
      <c r="N28" s="1">
        <v>0.9999999403953552</v>
      </c>
      <c r="O28" s="1">
        <v>0.9999999403953552</v>
      </c>
    </row>
    <row r="29" ht="15.75" customHeight="1">
      <c r="A29" s="1" t="s">
        <v>59</v>
      </c>
      <c r="B29" s="1" t="s">
        <v>16</v>
      </c>
      <c r="C29" s="1" t="s">
        <v>32</v>
      </c>
      <c r="D29" s="1">
        <v>0.06080751726679243</v>
      </c>
      <c r="E29" s="1">
        <v>0.7278763651847839</v>
      </c>
      <c r="F29" s="1">
        <v>0.7148278951644897</v>
      </c>
      <c r="G29" s="1">
        <v>0.7212931513786316</v>
      </c>
      <c r="H29" s="1">
        <v>0.46988847583643123</v>
      </c>
      <c r="I29" s="1">
        <v>0.1325390915860015</v>
      </c>
      <c r="J29" s="1">
        <v>0.2037174721189591</v>
      </c>
      <c r="K29" s="1">
        <v>0.26022304832713755</v>
      </c>
      <c r="L29" s="1">
        <v>0.0</v>
      </c>
      <c r="M29" s="1">
        <v>0.0</v>
      </c>
      <c r="N29" s="1">
        <v>0.9999999403953552</v>
      </c>
      <c r="O29" s="1">
        <v>0.9999999403953552</v>
      </c>
    </row>
    <row r="30" ht="15.75" customHeight="1">
      <c r="A30" s="1" t="s">
        <v>59</v>
      </c>
      <c r="B30" s="1" t="s">
        <v>16</v>
      </c>
      <c r="C30" s="1" t="s">
        <v>33</v>
      </c>
      <c r="D30" s="1">
        <v>0.04969625150478928</v>
      </c>
      <c r="E30" s="1">
        <v>0.7278763651847839</v>
      </c>
      <c r="F30" s="1">
        <v>0.7148278951644897</v>
      </c>
      <c r="G30" s="1">
        <v>0.7212931513786316</v>
      </c>
      <c r="H30" s="1">
        <v>0.47730829420970267</v>
      </c>
      <c r="I30" s="1">
        <v>0.12695924764890285</v>
      </c>
      <c r="J30" s="1">
        <v>0.1971830985915493</v>
      </c>
      <c r="K30" s="1">
        <v>0.24569640062597808</v>
      </c>
      <c r="L30" s="1">
        <v>0.0</v>
      </c>
      <c r="M30" s="1">
        <v>0.0</v>
      </c>
      <c r="N30" s="1">
        <v>0.9999999403953552</v>
      </c>
      <c r="O30" s="1">
        <v>0.9999999403953552</v>
      </c>
    </row>
    <row r="31" ht="15.75" customHeight="1">
      <c r="A31" s="1" t="s">
        <v>59</v>
      </c>
      <c r="B31" s="1" t="s">
        <v>16</v>
      </c>
      <c r="C31" s="1" t="s">
        <v>34</v>
      </c>
      <c r="D31" s="1">
        <v>0.04569050056931955</v>
      </c>
      <c r="E31" s="1">
        <v>0.7293891906738281</v>
      </c>
      <c r="F31" s="1">
        <v>0.7193130850791931</v>
      </c>
      <c r="G31" s="1">
        <v>0.7243161201477051</v>
      </c>
      <c r="H31" s="1">
        <v>0.4745484400656814</v>
      </c>
      <c r="I31" s="1">
        <v>0.12171052631578948</v>
      </c>
      <c r="J31" s="1">
        <v>0.19211822660098524</v>
      </c>
      <c r="K31" s="1">
        <v>0.27257799671592775</v>
      </c>
      <c r="L31" s="1">
        <v>0.0</v>
      </c>
      <c r="M31" s="1">
        <v>0.0</v>
      </c>
      <c r="N31" s="1">
        <v>0.9999999403953552</v>
      </c>
      <c r="O31" s="1">
        <v>0.9999999403953552</v>
      </c>
    </row>
    <row r="32" ht="15.75" customHeight="1">
      <c r="A32" s="1" t="s">
        <v>60</v>
      </c>
      <c r="B32" s="1" t="s">
        <v>16</v>
      </c>
      <c r="C32" s="1" t="s">
        <v>29</v>
      </c>
      <c r="D32" s="1">
        <v>0.07038219150338709</v>
      </c>
      <c r="E32" s="1">
        <v>0.7487555146217346</v>
      </c>
      <c r="F32" s="1">
        <v>0.7238390445709229</v>
      </c>
      <c r="G32" s="1">
        <v>0.7360864877700806</v>
      </c>
      <c r="H32" s="1">
        <v>0.5159972770592239</v>
      </c>
      <c r="I32" s="1">
        <v>0.1622358554873892</v>
      </c>
      <c r="J32" s="1">
        <v>0.20694349897889722</v>
      </c>
      <c r="K32" s="1">
        <v>0.2940776038121171</v>
      </c>
      <c r="L32" s="1">
        <v>0.0</v>
      </c>
      <c r="M32" s="1">
        <v>0.0</v>
      </c>
      <c r="N32" s="1">
        <v>0.9999999403953552</v>
      </c>
      <c r="O32" s="1">
        <v>0.9999999403953552</v>
      </c>
    </row>
    <row r="33" ht="15.75" customHeight="1">
      <c r="A33" s="1" t="s">
        <v>60</v>
      </c>
      <c r="B33" s="1" t="s">
        <v>16</v>
      </c>
      <c r="C33" s="1" t="s">
        <v>30</v>
      </c>
      <c r="D33" s="1">
        <v>0.049858210732987546</v>
      </c>
      <c r="E33" s="1">
        <v>0.747841477394104</v>
      </c>
      <c r="F33" s="1">
        <v>0.7211123704910278</v>
      </c>
      <c r="G33" s="1">
        <v>0.7342337369918823</v>
      </c>
      <c r="H33" s="1">
        <v>0.4996191926884996</v>
      </c>
      <c r="I33" s="1">
        <v>0.14492753623188406</v>
      </c>
      <c r="J33" s="1">
        <v>0.194973343488195</v>
      </c>
      <c r="K33" s="1">
        <v>0.27265803503427266</v>
      </c>
      <c r="L33" s="1">
        <v>0.0</v>
      </c>
      <c r="M33" s="1">
        <v>0.0</v>
      </c>
      <c r="N33" s="1">
        <v>0.7693519592285156</v>
      </c>
      <c r="O33" s="1">
        <v>0.7693519592285156</v>
      </c>
    </row>
    <row r="34" ht="15.75" customHeight="1">
      <c r="A34" s="1" t="s">
        <v>60</v>
      </c>
      <c r="B34" s="1" t="s">
        <v>16</v>
      </c>
      <c r="C34" s="1" t="s">
        <v>31</v>
      </c>
      <c r="D34" s="1">
        <v>0.07157389728240596</v>
      </c>
      <c r="E34" s="1">
        <v>0.7561213970184326</v>
      </c>
      <c r="F34" s="1">
        <v>0.7155520915985107</v>
      </c>
      <c r="G34" s="1">
        <v>0.735277533531189</v>
      </c>
      <c r="H34" s="1">
        <v>0.49500384319754037</v>
      </c>
      <c r="I34" s="1">
        <v>0.15858352578906848</v>
      </c>
      <c r="J34" s="1">
        <v>0.21214450422751727</v>
      </c>
      <c r="K34" s="1">
        <v>0.2859338970023059</v>
      </c>
      <c r="L34" s="1">
        <v>0.0</v>
      </c>
      <c r="M34" s="1">
        <v>0.0</v>
      </c>
      <c r="N34" s="1">
        <v>0.9999999403953552</v>
      </c>
      <c r="O34" s="1">
        <v>0.9999999403953552</v>
      </c>
    </row>
    <row r="35" ht="15.75" customHeight="1">
      <c r="A35" s="1" t="s">
        <v>60</v>
      </c>
      <c r="B35" s="1" t="s">
        <v>16</v>
      </c>
      <c r="C35" s="1" t="s">
        <v>32</v>
      </c>
      <c r="D35" s="1">
        <v>0.06888500230051174</v>
      </c>
      <c r="E35" s="1">
        <v>0.7309181094169617</v>
      </c>
      <c r="F35" s="1">
        <v>0.7128132581710815</v>
      </c>
      <c r="G35" s="1">
        <v>0.7217522263526917</v>
      </c>
      <c r="H35" s="1">
        <v>0.5285913528591353</v>
      </c>
      <c r="I35" s="1">
        <v>0.15223463687150837</v>
      </c>
      <c r="J35" s="1">
        <v>0.199442119944212</v>
      </c>
      <c r="K35" s="1">
        <v>0.27475592747559274</v>
      </c>
      <c r="L35" s="1">
        <v>0.0</v>
      </c>
      <c r="M35" s="1">
        <v>0.0</v>
      </c>
      <c r="N35" s="1">
        <v>0.9999999403953552</v>
      </c>
      <c r="O35" s="1">
        <v>0.9999999403953552</v>
      </c>
    </row>
    <row r="36" ht="15.75" customHeight="1">
      <c r="A36" s="1" t="s">
        <v>60</v>
      </c>
      <c r="B36" s="1" t="s">
        <v>16</v>
      </c>
      <c r="C36" s="1" t="s">
        <v>33</v>
      </c>
      <c r="D36" s="1">
        <v>0.066236305038926</v>
      </c>
      <c r="E36" s="1">
        <v>0.7309181094169617</v>
      </c>
      <c r="F36" s="1">
        <v>0.7128132581710815</v>
      </c>
      <c r="G36" s="1">
        <v>0.7217522263526917</v>
      </c>
      <c r="H36" s="1">
        <v>0.5208485735186539</v>
      </c>
      <c r="I36" s="1">
        <v>0.1553113553113553</v>
      </c>
      <c r="J36" s="1">
        <v>0.1960497439648866</v>
      </c>
      <c r="K36" s="1">
        <v>0.26627651792245793</v>
      </c>
      <c r="L36" s="1">
        <v>0.0</v>
      </c>
      <c r="M36" s="1">
        <v>0.0</v>
      </c>
      <c r="N36" s="1">
        <v>0.9999999403953552</v>
      </c>
      <c r="O36" s="1">
        <v>0.9999999403953552</v>
      </c>
    </row>
    <row r="37" ht="15.75" customHeight="1">
      <c r="A37" s="1" t="s">
        <v>60</v>
      </c>
      <c r="B37" s="1" t="s">
        <v>16</v>
      </c>
      <c r="C37" s="1" t="s">
        <v>34</v>
      </c>
      <c r="D37" s="1">
        <v>0.053435262007031914</v>
      </c>
      <c r="E37" s="1">
        <v>0.7333757281303406</v>
      </c>
      <c r="F37" s="1">
        <v>0.7182697057723999</v>
      </c>
      <c r="G37" s="1">
        <v>0.7257441878318787</v>
      </c>
      <c r="H37" s="1">
        <v>0.5172149961744452</v>
      </c>
      <c r="I37" s="1">
        <v>0.15172413793103448</v>
      </c>
      <c r="J37" s="1">
        <v>0.1928079571537873</v>
      </c>
      <c r="K37" s="1">
        <v>0.2662586074980872</v>
      </c>
      <c r="L37" s="1">
        <v>0.0</v>
      </c>
      <c r="M37" s="1">
        <v>0.0</v>
      </c>
      <c r="N37" s="1">
        <v>0.9999999403953552</v>
      </c>
      <c r="O37" s="1">
        <v>0.9999999403953552</v>
      </c>
    </row>
    <row r="38" ht="15.75" customHeight="1"/>
    <row r="39" ht="15.75" customHeight="1">
      <c r="C39" s="2"/>
    </row>
    <row r="40" ht="15.75" customHeight="1"/>
    <row r="41" ht="15.75" customHeight="1"/>
    <row r="42" ht="15.75" customHeight="1"/>
    <row r="43" ht="15.75" customHeight="1">
      <c r="B43" s="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3.43"/>
    <col customWidth="1" min="5" max="5" width="21.86"/>
    <col customWidth="1" min="6" max="6" width="18.86"/>
    <col customWidth="1" min="7" max="7" width="15.57"/>
    <col customWidth="1" min="8" max="10" width="12.0"/>
    <col customWidth="1" min="11" max="11" width="13.0"/>
    <col customWidth="1" min="12" max="12" width="18.0"/>
    <col customWidth="1" min="13" max="13" width="21.71"/>
    <col customWidth="1" min="14" max="14" width="13.57"/>
    <col customWidth="1" min="15" max="15" width="17.29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35</v>
      </c>
      <c r="D2" s="1">
        <v>0.029430397239446494</v>
      </c>
      <c r="E2" s="1">
        <v>0.7484778165817261</v>
      </c>
      <c r="F2" s="1">
        <v>0.7370939254760742</v>
      </c>
      <c r="G2" s="1">
        <v>0.7427422404289246</v>
      </c>
      <c r="H2" s="1">
        <v>0.3836206896551725</v>
      </c>
      <c r="I2" s="1">
        <v>0.12805755395683452</v>
      </c>
      <c r="J2" s="1">
        <v>0.16954022988505746</v>
      </c>
      <c r="K2" s="1">
        <v>0.2385057471264368</v>
      </c>
      <c r="L2" s="1">
        <v>0.0</v>
      </c>
      <c r="M2" s="1">
        <v>0.0</v>
      </c>
      <c r="N2" s="1">
        <v>0.9999999403953552</v>
      </c>
      <c r="O2" s="1">
        <v>0.8271334767341614</v>
      </c>
    </row>
    <row r="3">
      <c r="A3" s="1" t="s">
        <v>15</v>
      </c>
      <c r="B3" s="1" t="s">
        <v>16</v>
      </c>
      <c r="C3" s="1" t="s">
        <v>36</v>
      </c>
      <c r="D3" s="1">
        <v>0.04336172866521093</v>
      </c>
      <c r="E3" s="1">
        <v>0.7446160316467285</v>
      </c>
      <c r="F3" s="1">
        <v>0.7370531558990479</v>
      </c>
      <c r="G3" s="1">
        <v>0.740815281867981</v>
      </c>
      <c r="H3" s="1">
        <v>0.40437158469945356</v>
      </c>
      <c r="I3" s="1">
        <v>0.12585499316005472</v>
      </c>
      <c r="J3" s="1">
        <v>0.18032786885245902</v>
      </c>
      <c r="K3" s="1">
        <v>0.25136612021857924</v>
      </c>
      <c r="L3" s="1">
        <v>0.0</v>
      </c>
      <c r="M3" s="1">
        <v>0.0</v>
      </c>
      <c r="N3" s="1">
        <v>0.9999999403953552</v>
      </c>
      <c r="O3" s="1">
        <v>0.8271334767341614</v>
      </c>
    </row>
    <row r="4">
      <c r="A4" s="1" t="s">
        <v>15</v>
      </c>
      <c r="B4" s="1" t="s">
        <v>16</v>
      </c>
      <c r="C4" s="1" t="s">
        <v>37</v>
      </c>
      <c r="D4" s="1">
        <v>0.07048777766297373</v>
      </c>
      <c r="E4" s="1">
        <v>0.7639557123184204</v>
      </c>
      <c r="F4" s="1">
        <v>0.743821918964386</v>
      </c>
      <c r="G4" s="1">
        <v>0.7537543773651123</v>
      </c>
      <c r="H4" s="1">
        <v>0.4471968709256845</v>
      </c>
      <c r="I4" s="1">
        <v>0.14360313315926893</v>
      </c>
      <c r="J4" s="1">
        <v>0.1864406779661017</v>
      </c>
      <c r="K4" s="1">
        <v>0.2503259452411995</v>
      </c>
      <c r="L4" s="1">
        <v>0.0</v>
      </c>
      <c r="M4" s="1">
        <v>0.0</v>
      </c>
      <c r="N4" s="1">
        <v>0.7693519592285156</v>
      </c>
      <c r="O4" s="1">
        <v>0.8153265714645386</v>
      </c>
    </row>
    <row r="5">
      <c r="A5" s="1" t="s">
        <v>15</v>
      </c>
      <c r="B5" s="1" t="s">
        <v>16</v>
      </c>
      <c r="C5" s="1" t="s">
        <v>38</v>
      </c>
      <c r="D5" s="1">
        <v>0.05413406390974244</v>
      </c>
      <c r="E5" s="1">
        <v>0.7446399927139282</v>
      </c>
      <c r="F5" s="1">
        <v>0.7318429946899414</v>
      </c>
      <c r="G5" s="1">
        <v>0.7381860017776489</v>
      </c>
      <c r="H5" s="1">
        <v>0.4665391969407266</v>
      </c>
      <c r="I5" s="1">
        <v>0.13401403956604976</v>
      </c>
      <c r="J5" s="1">
        <v>0.1988527724665392</v>
      </c>
      <c r="K5" s="1">
        <v>0.2676864244741874</v>
      </c>
      <c r="L5" s="1">
        <v>0.0</v>
      </c>
      <c r="M5" s="1">
        <v>0.0</v>
      </c>
      <c r="N5" s="1">
        <v>0.9999999403953552</v>
      </c>
      <c r="O5" s="1">
        <v>0.8271334767341614</v>
      </c>
    </row>
    <row r="6">
      <c r="A6" s="1" t="s">
        <v>15</v>
      </c>
      <c r="B6" s="1" t="s">
        <v>16</v>
      </c>
      <c r="C6" s="1" t="s">
        <v>39</v>
      </c>
      <c r="D6" s="1">
        <v>0.022057001591843168</v>
      </c>
      <c r="E6" s="1">
        <v>0.7444972991943359</v>
      </c>
      <c r="F6" s="1">
        <v>0.7319907546043396</v>
      </c>
      <c r="G6" s="1">
        <v>0.7381910681724548</v>
      </c>
      <c r="H6" s="1">
        <v>0.38978102189781016</v>
      </c>
      <c r="I6" s="1">
        <v>0.11403508771929824</v>
      </c>
      <c r="J6" s="1">
        <v>0.1635036496350365</v>
      </c>
      <c r="K6" s="1">
        <v>0.22627737226277372</v>
      </c>
      <c r="L6" s="1">
        <v>0.0</v>
      </c>
      <c r="M6" s="1">
        <v>0.0</v>
      </c>
      <c r="N6" s="1">
        <v>0.9999999403953552</v>
      </c>
      <c r="O6" s="1">
        <v>0.8271334767341614</v>
      </c>
    </row>
    <row r="7">
      <c r="A7" s="1" t="s">
        <v>15</v>
      </c>
      <c r="B7" s="1" t="s">
        <v>16</v>
      </c>
      <c r="C7" s="1" t="s">
        <v>40</v>
      </c>
      <c r="D7" s="1">
        <v>0.03521314839243525</v>
      </c>
      <c r="E7" s="1">
        <v>0.7315559387207031</v>
      </c>
      <c r="F7" s="1">
        <v>0.7421348094940186</v>
      </c>
      <c r="G7" s="1">
        <v>0.7368074059486389</v>
      </c>
      <c r="H7" s="1">
        <v>0.42564802182810374</v>
      </c>
      <c r="I7" s="1">
        <v>0.12704918032786885</v>
      </c>
      <c r="J7" s="1">
        <v>0.17462482946793997</v>
      </c>
      <c r="K7" s="1">
        <v>0.24693042291950887</v>
      </c>
      <c r="L7" s="1">
        <v>0.0</v>
      </c>
      <c r="M7" s="1">
        <v>0.0</v>
      </c>
      <c r="N7" s="1">
        <v>0.9999999403953552</v>
      </c>
      <c r="O7" s="1">
        <v>0.8271334767341614</v>
      </c>
    </row>
    <row r="8">
      <c r="A8" s="1" t="s">
        <v>56</v>
      </c>
      <c r="B8" s="1" t="s">
        <v>16</v>
      </c>
      <c r="C8" s="1" t="s">
        <v>35</v>
      </c>
      <c r="D8" s="1">
        <v>0.018045276115735802</v>
      </c>
      <c r="E8" s="1">
        <v>0.7162473201751709</v>
      </c>
      <c r="F8" s="1">
        <v>0.6916202902793884</v>
      </c>
      <c r="G8" s="1">
        <v>0.7037184238433838</v>
      </c>
      <c r="H8" s="1">
        <v>0.37230081906180196</v>
      </c>
      <c r="I8" s="1">
        <v>0.09545115585384042</v>
      </c>
      <c r="J8" s="1">
        <v>0.16232315711094564</v>
      </c>
      <c r="K8" s="1">
        <v>0.2144452717795979</v>
      </c>
      <c r="L8" s="1">
        <v>0.0</v>
      </c>
      <c r="M8" s="1">
        <v>0.0</v>
      </c>
      <c r="N8" s="1">
        <v>0.9999999403953552</v>
      </c>
      <c r="O8" s="1">
        <v>0.5545380711555481</v>
      </c>
    </row>
    <row r="9">
      <c r="A9" s="1" t="s">
        <v>56</v>
      </c>
      <c r="B9" s="1" t="s">
        <v>16</v>
      </c>
      <c r="C9" s="1" t="s">
        <v>36</v>
      </c>
      <c r="D9" s="1">
        <v>0.040168804612485134</v>
      </c>
      <c r="E9" s="1">
        <v>0.7327108383178711</v>
      </c>
      <c r="F9" s="1">
        <v>0.7071280479431152</v>
      </c>
      <c r="G9" s="1">
        <v>0.7196921706199646</v>
      </c>
      <c r="H9" s="1">
        <v>0.3985865724381626</v>
      </c>
      <c r="I9" s="1">
        <v>0.11606510969568296</v>
      </c>
      <c r="J9" s="1">
        <v>0.18091872791519434</v>
      </c>
      <c r="K9" s="1">
        <v>0.23321554770318023</v>
      </c>
      <c r="L9" s="1">
        <v>0.0</v>
      </c>
      <c r="M9" s="1">
        <v>0.0</v>
      </c>
      <c r="N9" s="1">
        <v>0.9999999403953552</v>
      </c>
      <c r="O9" s="1">
        <v>0.5545380711555481</v>
      </c>
    </row>
    <row r="10">
      <c r="A10" s="1" t="s">
        <v>56</v>
      </c>
      <c r="B10" s="1" t="s">
        <v>16</v>
      </c>
      <c r="C10" s="1" t="s">
        <v>37</v>
      </c>
      <c r="D10" s="1">
        <v>0.045682240544106266</v>
      </c>
      <c r="E10" s="1">
        <v>0.7391147017478943</v>
      </c>
      <c r="F10" s="1">
        <v>0.7043507099151611</v>
      </c>
      <c r="G10" s="1">
        <v>0.7213140726089478</v>
      </c>
      <c r="H10" s="1">
        <v>0.4067340067340067</v>
      </c>
      <c r="I10" s="1">
        <v>0.1078894133513149</v>
      </c>
      <c r="J10" s="1">
        <v>0.17643097643097644</v>
      </c>
      <c r="K10" s="1">
        <v>0.24107744107744106</v>
      </c>
      <c r="L10" s="1">
        <v>0.0</v>
      </c>
      <c r="M10" s="1">
        <v>0.0</v>
      </c>
      <c r="N10" s="1">
        <v>0.7693519592285156</v>
      </c>
      <c r="O10" s="1">
        <v>0.48749488592147827</v>
      </c>
    </row>
    <row r="11">
      <c r="A11" s="1" t="s">
        <v>56</v>
      </c>
      <c r="B11" s="1" t="s">
        <v>16</v>
      </c>
      <c r="C11" s="1" t="s">
        <v>38</v>
      </c>
      <c r="D11" s="1">
        <v>0.037865319901855786</v>
      </c>
      <c r="E11" s="1">
        <v>0.7263250350952148</v>
      </c>
      <c r="F11" s="1">
        <v>0.700615644454956</v>
      </c>
      <c r="G11" s="1">
        <v>0.7132387161254883</v>
      </c>
      <c r="H11" s="1">
        <v>0.4447368421052631</v>
      </c>
      <c r="I11" s="1">
        <v>0.11462450592885375</v>
      </c>
      <c r="J11" s="1">
        <v>0.17894736842105263</v>
      </c>
      <c r="K11" s="1">
        <v>0.2552631578947368</v>
      </c>
      <c r="L11" s="1">
        <v>0.0</v>
      </c>
      <c r="M11" s="1">
        <v>0.0</v>
      </c>
      <c r="N11" s="1">
        <v>0.9999999403953552</v>
      </c>
      <c r="O11" s="1">
        <v>0.5545380711555481</v>
      </c>
    </row>
    <row r="12">
      <c r="A12" s="1" t="s">
        <v>56</v>
      </c>
      <c r="B12" s="1" t="s">
        <v>16</v>
      </c>
      <c r="C12" s="1" t="s">
        <v>39</v>
      </c>
      <c r="D12" s="1">
        <v>0.020104205959762405</v>
      </c>
      <c r="E12" s="1">
        <v>0.7262144088745117</v>
      </c>
      <c r="F12" s="1">
        <v>0.7005500793457031</v>
      </c>
      <c r="G12" s="1">
        <v>0.7131513953208923</v>
      </c>
      <c r="H12" s="1">
        <v>0.37395912187736563</v>
      </c>
      <c r="I12" s="1">
        <v>0.10462471569370733</v>
      </c>
      <c r="J12" s="1">
        <v>0.16654049962149886</v>
      </c>
      <c r="K12" s="1">
        <v>0.21801665404996215</v>
      </c>
      <c r="L12" s="1">
        <v>0.0</v>
      </c>
      <c r="M12" s="1">
        <v>0.0</v>
      </c>
      <c r="N12" s="1">
        <v>0.9999999403953552</v>
      </c>
      <c r="O12" s="1">
        <v>0.5545380711555481</v>
      </c>
    </row>
    <row r="13">
      <c r="A13" s="1" t="s">
        <v>56</v>
      </c>
      <c r="B13" s="1" t="s">
        <v>16</v>
      </c>
      <c r="C13" s="1" t="s">
        <v>40</v>
      </c>
      <c r="D13" s="1">
        <v>0.020553178852711892</v>
      </c>
      <c r="E13" s="1">
        <v>0.7230567336082458</v>
      </c>
      <c r="F13" s="1">
        <v>0.7058015465736389</v>
      </c>
      <c r="G13" s="1">
        <v>0.714324951171875</v>
      </c>
      <c r="H13" s="1">
        <v>0.3895553987297107</v>
      </c>
      <c r="I13" s="1">
        <v>0.08480565371024734</v>
      </c>
      <c r="J13" s="1">
        <v>0.17360621030345802</v>
      </c>
      <c r="K13" s="1">
        <v>0.2328863796753705</v>
      </c>
      <c r="L13" s="1">
        <v>0.0</v>
      </c>
      <c r="M13" s="1">
        <v>0.0</v>
      </c>
      <c r="N13" s="1">
        <v>0.9999999403953552</v>
      </c>
      <c r="O13" s="1">
        <v>0.5545380711555481</v>
      </c>
    </row>
    <row r="14">
      <c r="A14" s="1" t="s">
        <v>57</v>
      </c>
      <c r="B14" s="1" t="s">
        <v>16</v>
      </c>
      <c r="C14" s="1" t="s">
        <v>35</v>
      </c>
      <c r="D14" s="1">
        <v>0.048102711590344</v>
      </c>
      <c r="E14" s="1">
        <v>0.7525497674942017</v>
      </c>
      <c r="F14" s="1">
        <v>0.73235023021698</v>
      </c>
      <c r="G14" s="1">
        <v>0.7423126101493835</v>
      </c>
      <c r="H14" s="1">
        <v>0.4328937160589605</v>
      </c>
      <c r="I14" s="1">
        <v>0.13986013986013984</v>
      </c>
      <c r="J14" s="1">
        <v>0.18463925523661756</v>
      </c>
      <c r="K14" s="1">
        <v>0.2451512800620636</v>
      </c>
      <c r="L14" s="1">
        <v>0.0</v>
      </c>
      <c r="M14" s="1">
        <v>0.0</v>
      </c>
      <c r="N14" s="1">
        <v>0.9999999403953552</v>
      </c>
      <c r="O14" s="1">
        <v>0.9999999403953552</v>
      </c>
    </row>
    <row r="15">
      <c r="A15" s="1" t="s">
        <v>57</v>
      </c>
      <c r="B15" s="1" t="s">
        <v>16</v>
      </c>
      <c r="C15" s="1" t="s">
        <v>36</v>
      </c>
      <c r="D15" s="1">
        <v>0.053517184781281625</v>
      </c>
      <c r="E15" s="1">
        <v>0.7533427476882935</v>
      </c>
      <c r="F15" s="1">
        <v>0.7369365692138672</v>
      </c>
      <c r="G15" s="1">
        <v>0.7450493574142456</v>
      </c>
      <c r="H15" s="1">
        <v>0.45260837619397504</v>
      </c>
      <c r="I15" s="1">
        <v>0.14422369389256806</v>
      </c>
      <c r="J15" s="1">
        <v>0.18368846436443792</v>
      </c>
      <c r="K15" s="1">
        <v>0.25716385011021303</v>
      </c>
      <c r="L15" s="1">
        <v>0.0</v>
      </c>
      <c r="M15" s="1">
        <v>0.0</v>
      </c>
      <c r="N15" s="1">
        <v>0.9999999403953552</v>
      </c>
      <c r="O15" s="1">
        <v>0.9999999403953552</v>
      </c>
    </row>
    <row r="16">
      <c r="A16" s="1" t="s">
        <v>57</v>
      </c>
      <c r="B16" s="1" t="s">
        <v>16</v>
      </c>
      <c r="C16" s="1" t="s">
        <v>37</v>
      </c>
      <c r="D16" s="1">
        <v>0.07197448599514916</v>
      </c>
      <c r="E16" s="1">
        <v>0.7521125674247742</v>
      </c>
      <c r="F16" s="1">
        <v>0.723625659942627</v>
      </c>
      <c r="G16" s="1">
        <v>0.7375941276550293</v>
      </c>
      <c r="H16" s="1">
        <v>0.43605870020964366</v>
      </c>
      <c r="I16" s="1">
        <v>0.12456263121063682</v>
      </c>
      <c r="J16" s="1">
        <v>0.1872816212438854</v>
      </c>
      <c r="K16" s="1">
        <v>0.24598183088749126</v>
      </c>
      <c r="L16" s="1">
        <v>0.0</v>
      </c>
      <c r="M16" s="1">
        <v>0.0</v>
      </c>
      <c r="N16" s="1">
        <v>0.7693519592285156</v>
      </c>
      <c r="O16" s="1">
        <v>0.7693519592285156</v>
      </c>
    </row>
    <row r="17">
      <c r="A17" s="1" t="s">
        <v>57</v>
      </c>
      <c r="B17" s="1" t="s">
        <v>16</v>
      </c>
      <c r="C17" s="1" t="s">
        <v>38</v>
      </c>
      <c r="D17" s="1">
        <v>0.0751880606466805</v>
      </c>
      <c r="E17" s="1">
        <v>0.7526096701622009</v>
      </c>
      <c r="F17" s="1">
        <v>0.7284437417984009</v>
      </c>
      <c r="G17" s="1">
        <v>0.7403295636177063</v>
      </c>
      <c r="H17" s="1">
        <v>0.5088676671214188</v>
      </c>
      <c r="I17" s="1">
        <v>0.16256830601092895</v>
      </c>
      <c r="J17" s="1">
        <v>0.20054570259208732</v>
      </c>
      <c r="K17" s="1">
        <v>0.27285129604365616</v>
      </c>
      <c r="L17" s="1">
        <v>0.0</v>
      </c>
      <c r="M17" s="1">
        <v>0.0</v>
      </c>
      <c r="N17" s="1">
        <v>0.9999999403953552</v>
      </c>
      <c r="O17" s="1">
        <v>0.9999999403953552</v>
      </c>
    </row>
    <row r="18">
      <c r="A18" s="1" t="s">
        <v>57</v>
      </c>
      <c r="B18" s="1" t="s">
        <v>16</v>
      </c>
      <c r="C18" s="1" t="s">
        <v>39</v>
      </c>
      <c r="D18" s="1">
        <v>0.046592331700885364</v>
      </c>
      <c r="E18" s="1">
        <v>0.7522799968719482</v>
      </c>
      <c r="F18" s="1">
        <v>0.7283065319061279</v>
      </c>
      <c r="G18" s="1">
        <v>0.7400991916656494</v>
      </c>
      <c r="H18" s="1">
        <v>0.430939226519337</v>
      </c>
      <c r="I18" s="1">
        <v>0.14387351778656127</v>
      </c>
      <c r="J18" s="1">
        <v>0.17995264404104183</v>
      </c>
      <c r="K18" s="1">
        <v>0.24782951854775062</v>
      </c>
      <c r="L18" s="1">
        <v>0.0</v>
      </c>
      <c r="M18" s="1">
        <v>0.0</v>
      </c>
      <c r="N18" s="1">
        <v>0.9999999403953552</v>
      </c>
      <c r="O18" s="1">
        <v>0.9999999403953552</v>
      </c>
    </row>
    <row r="19">
      <c r="A19" s="1" t="s">
        <v>57</v>
      </c>
      <c r="B19" s="1" t="s">
        <v>16</v>
      </c>
      <c r="C19" s="1" t="s">
        <v>40</v>
      </c>
      <c r="D19" s="1">
        <v>0.059448619344889764</v>
      </c>
      <c r="E19" s="1">
        <v>0.7414956092834473</v>
      </c>
      <c r="F19" s="1">
        <v>0.7429741621017456</v>
      </c>
      <c r="G19" s="1">
        <v>0.7422341704368591</v>
      </c>
      <c r="H19" s="1">
        <v>0.42993396918562</v>
      </c>
      <c r="I19" s="1">
        <v>0.13960323291697282</v>
      </c>
      <c r="J19" s="1">
        <v>0.18195157740278795</v>
      </c>
      <c r="K19" s="1">
        <v>0.2509170946441673</v>
      </c>
      <c r="L19" s="1">
        <v>0.0</v>
      </c>
      <c r="M19" s="1">
        <v>0.0</v>
      </c>
      <c r="N19" s="1">
        <v>0.9999999403953552</v>
      </c>
      <c r="O19" s="1">
        <v>0.9999999403953552</v>
      </c>
    </row>
    <row r="20">
      <c r="A20" s="1" t="s">
        <v>58</v>
      </c>
      <c r="B20" s="1" t="s">
        <v>16</v>
      </c>
      <c r="C20" s="1" t="s">
        <v>35</v>
      </c>
      <c r="D20" s="1">
        <v>0.025680666390988174</v>
      </c>
      <c r="E20" s="1">
        <v>0.7410222887992859</v>
      </c>
      <c r="F20" s="1">
        <v>0.728034496307373</v>
      </c>
      <c r="G20" s="1">
        <v>0.7344709634780884</v>
      </c>
      <c r="H20" s="1">
        <v>0.43298969072164945</v>
      </c>
      <c r="I20" s="1">
        <v>0.1135972461273666</v>
      </c>
      <c r="J20" s="1">
        <v>0.17010309278350516</v>
      </c>
      <c r="K20" s="1">
        <v>0.24054982817869414</v>
      </c>
      <c r="L20" s="1">
        <v>0.0</v>
      </c>
      <c r="M20" s="1">
        <v>0.0</v>
      </c>
      <c r="N20" s="1">
        <v>0.9999999403953552</v>
      </c>
      <c r="O20" s="1">
        <v>0.9999999403953552</v>
      </c>
    </row>
    <row r="21" ht="15.75" customHeight="1">
      <c r="A21" s="1" t="s">
        <v>58</v>
      </c>
      <c r="B21" s="1" t="s">
        <v>16</v>
      </c>
      <c r="C21" s="1" t="s">
        <v>36</v>
      </c>
      <c r="D21" s="1">
        <v>0.0339756262826532</v>
      </c>
      <c r="E21" s="1">
        <v>0.7435289621353149</v>
      </c>
      <c r="F21" s="1">
        <v>0.7317150831222534</v>
      </c>
      <c r="G21" s="1">
        <v>0.7375746965408325</v>
      </c>
      <c r="H21" s="1">
        <v>0.4288025889967638</v>
      </c>
      <c r="I21" s="1">
        <v>0.11021069692058347</v>
      </c>
      <c r="J21" s="1">
        <v>0.18446601941747573</v>
      </c>
      <c r="K21" s="1">
        <v>0.2313915857605178</v>
      </c>
      <c r="L21" s="1">
        <v>0.0</v>
      </c>
      <c r="M21" s="1">
        <v>0.0</v>
      </c>
      <c r="N21" s="1">
        <v>0.9999999403953552</v>
      </c>
      <c r="O21" s="1">
        <v>0.9999999403953552</v>
      </c>
    </row>
    <row r="22" ht="15.75" customHeight="1">
      <c r="A22" s="1" t="s">
        <v>58</v>
      </c>
      <c r="B22" s="1" t="s">
        <v>16</v>
      </c>
      <c r="C22" s="1" t="s">
        <v>37</v>
      </c>
      <c r="D22" s="1">
        <v>0.046993373090042874</v>
      </c>
      <c r="E22" s="1">
        <v>0.751255452632904</v>
      </c>
      <c r="F22" s="1">
        <v>0.7284574508666992</v>
      </c>
      <c r="G22" s="1">
        <v>0.7396807670593262</v>
      </c>
      <c r="H22" s="1">
        <v>0.439509954058193</v>
      </c>
      <c r="I22" s="1">
        <v>0.1058282208588957</v>
      </c>
      <c r="J22" s="1">
        <v>0.1868300153139357</v>
      </c>
      <c r="K22" s="1">
        <v>0.2664624808575804</v>
      </c>
      <c r="L22" s="1">
        <v>0.0</v>
      </c>
      <c r="M22" s="1">
        <v>0.0</v>
      </c>
      <c r="N22" s="1">
        <v>0.7693519592285156</v>
      </c>
      <c r="O22" s="1">
        <v>0.7693519592285156</v>
      </c>
    </row>
    <row r="23" ht="15.75" customHeight="1">
      <c r="A23" s="1" t="s">
        <v>58</v>
      </c>
      <c r="B23" s="1" t="s">
        <v>16</v>
      </c>
      <c r="C23" s="1" t="s">
        <v>38</v>
      </c>
      <c r="D23" s="1">
        <v>0.0391094142904489</v>
      </c>
      <c r="E23" s="1">
        <v>0.7373515963554382</v>
      </c>
      <c r="F23" s="1">
        <v>0.7250519394874573</v>
      </c>
      <c r="G23" s="1">
        <v>0.7311500310897827</v>
      </c>
      <c r="H23" s="1">
        <v>0.4533929903057419</v>
      </c>
      <c r="I23" s="1">
        <v>0.1075429424943988</v>
      </c>
      <c r="J23" s="1">
        <v>0.18493661446681578</v>
      </c>
      <c r="K23" s="1">
        <v>0.24906785980611487</v>
      </c>
      <c r="L23" s="1">
        <v>0.0</v>
      </c>
      <c r="M23" s="1">
        <v>0.0</v>
      </c>
      <c r="N23" s="1">
        <v>0.9999999403953552</v>
      </c>
      <c r="O23" s="1">
        <v>0.9999999403953552</v>
      </c>
    </row>
    <row r="24" ht="15.75" customHeight="1">
      <c r="A24" s="1" t="s">
        <v>58</v>
      </c>
      <c r="B24" s="1" t="s">
        <v>16</v>
      </c>
      <c r="C24" s="1" t="s">
        <v>39</v>
      </c>
      <c r="D24" s="1">
        <v>0.027723808051863752</v>
      </c>
      <c r="E24" s="1">
        <v>0.7370374202728271</v>
      </c>
      <c r="F24" s="1">
        <v>0.7250043749809265</v>
      </c>
      <c r="G24" s="1">
        <v>0.7309713363647461</v>
      </c>
      <c r="H24" s="1">
        <v>0.4010507880910683</v>
      </c>
      <c r="I24" s="1">
        <v>0.10701754385964911</v>
      </c>
      <c r="J24" s="1">
        <v>0.17513134851138354</v>
      </c>
      <c r="K24" s="1">
        <v>0.23292469352014014</v>
      </c>
      <c r="L24" s="1">
        <v>0.0</v>
      </c>
      <c r="M24" s="1">
        <v>0.0</v>
      </c>
      <c r="N24" s="1">
        <v>0.9999999403953552</v>
      </c>
      <c r="O24" s="1">
        <v>0.9999999403953552</v>
      </c>
    </row>
    <row r="25" ht="15.75" customHeight="1">
      <c r="A25" s="1" t="s">
        <v>58</v>
      </c>
      <c r="B25" s="1" t="s">
        <v>16</v>
      </c>
      <c r="C25" s="1" t="s">
        <v>40</v>
      </c>
      <c r="D25" s="1">
        <v>0.030267412642932624</v>
      </c>
      <c r="E25" s="1">
        <v>0.7235622406005859</v>
      </c>
      <c r="F25" s="1">
        <v>0.7280318140983582</v>
      </c>
      <c r="G25" s="1">
        <v>0.7257900834083557</v>
      </c>
      <c r="H25" s="1">
        <v>0.42649434571890144</v>
      </c>
      <c r="I25" s="1">
        <v>0.09546925566343042</v>
      </c>
      <c r="J25" s="1">
        <v>0.17609046849757673</v>
      </c>
      <c r="K25" s="1">
        <v>0.2310177705977383</v>
      </c>
      <c r="L25" s="1">
        <v>0.0</v>
      </c>
      <c r="M25" s="1">
        <v>0.0</v>
      </c>
      <c r="N25" s="1">
        <v>0.9999999403953552</v>
      </c>
      <c r="O25" s="1">
        <v>0.9999999403953552</v>
      </c>
    </row>
    <row r="26" ht="15.75" customHeight="1">
      <c r="A26" s="1" t="s">
        <v>59</v>
      </c>
      <c r="B26" s="1" t="s">
        <v>16</v>
      </c>
      <c r="C26" s="1" t="s">
        <v>35</v>
      </c>
      <c r="D26" s="1">
        <v>0.06466914459398332</v>
      </c>
      <c r="E26" s="1">
        <v>0.7527706623077393</v>
      </c>
      <c r="F26" s="1">
        <v>0.7340310215950012</v>
      </c>
      <c r="G26" s="1">
        <v>0.7432827353477478</v>
      </c>
      <c r="H26" s="1">
        <v>0.47491039426523296</v>
      </c>
      <c r="I26" s="1">
        <v>0.13644524236983843</v>
      </c>
      <c r="J26" s="1">
        <v>0.18996415770609318</v>
      </c>
      <c r="K26" s="1">
        <v>0.2831541218637993</v>
      </c>
      <c r="L26" s="1">
        <v>0.0</v>
      </c>
      <c r="M26" s="1">
        <v>0.0</v>
      </c>
      <c r="N26" s="1">
        <v>0.9999999403953552</v>
      </c>
      <c r="O26" s="1">
        <v>0.9999999403953552</v>
      </c>
    </row>
    <row r="27" ht="15.75" customHeight="1">
      <c r="A27" s="1" t="s">
        <v>59</v>
      </c>
      <c r="B27" s="1" t="s">
        <v>16</v>
      </c>
      <c r="C27" s="1" t="s">
        <v>36</v>
      </c>
      <c r="D27" s="1">
        <v>0.06893928875892134</v>
      </c>
      <c r="E27" s="1">
        <v>0.7467936873435974</v>
      </c>
      <c r="F27" s="1">
        <v>0.7264002561569214</v>
      </c>
      <c r="G27" s="1">
        <v>0.7364558577537537</v>
      </c>
      <c r="H27" s="1">
        <v>0.4730639730639731</v>
      </c>
      <c r="I27" s="1">
        <v>0.12141652613827994</v>
      </c>
      <c r="J27" s="1">
        <v>0.18518518518518517</v>
      </c>
      <c r="K27" s="1">
        <v>0.2727272727272727</v>
      </c>
      <c r="L27" s="1">
        <v>0.0</v>
      </c>
      <c r="M27" s="1">
        <v>0.0</v>
      </c>
      <c r="N27" s="1">
        <v>0.9999999403953552</v>
      </c>
      <c r="O27" s="1">
        <v>0.9999999403953552</v>
      </c>
    </row>
    <row r="28" ht="15.75" customHeight="1">
      <c r="A28" s="1" t="s">
        <v>59</v>
      </c>
      <c r="B28" s="1" t="s">
        <v>16</v>
      </c>
      <c r="C28" s="1" t="s">
        <v>37</v>
      </c>
      <c r="D28" s="1">
        <v>0.05990229665732523</v>
      </c>
      <c r="E28" s="1">
        <v>0.7435173988342285</v>
      </c>
      <c r="F28" s="1">
        <v>0.7292792797088623</v>
      </c>
      <c r="G28" s="1">
        <v>0.7363295555114746</v>
      </c>
      <c r="H28" s="1">
        <v>0.4674085850556439</v>
      </c>
      <c r="I28" s="1">
        <v>0.12898089171974522</v>
      </c>
      <c r="J28" s="1">
        <v>0.18600953895071545</v>
      </c>
      <c r="K28" s="1">
        <v>0.273449920508744</v>
      </c>
      <c r="L28" s="1">
        <v>0.0</v>
      </c>
      <c r="M28" s="1">
        <v>0.0</v>
      </c>
      <c r="N28" s="1">
        <v>0.7693519592285156</v>
      </c>
      <c r="O28" s="1">
        <v>0.7693519592285156</v>
      </c>
    </row>
    <row r="29" ht="15.75" customHeight="1">
      <c r="A29" s="1" t="s">
        <v>59</v>
      </c>
      <c r="B29" s="1" t="s">
        <v>16</v>
      </c>
      <c r="C29" s="1" t="s">
        <v>38</v>
      </c>
      <c r="D29" s="1">
        <v>0.06326950484890353</v>
      </c>
      <c r="E29" s="1">
        <v>0.7318432927131653</v>
      </c>
      <c r="F29" s="1">
        <v>0.7157224416732788</v>
      </c>
      <c r="G29" s="1">
        <v>0.7236930727958679</v>
      </c>
      <c r="H29" s="1">
        <v>0.46713070378963656</v>
      </c>
      <c r="I29" s="1">
        <v>0.1192873741285825</v>
      </c>
      <c r="J29" s="1">
        <v>0.19798917246713071</v>
      </c>
      <c r="K29" s="1">
        <v>0.2877030162412993</v>
      </c>
      <c r="L29" s="1">
        <v>0.0</v>
      </c>
      <c r="M29" s="1">
        <v>0.0</v>
      </c>
      <c r="N29" s="1">
        <v>0.9999999403953552</v>
      </c>
      <c r="O29" s="1">
        <v>0.9999999403953552</v>
      </c>
    </row>
    <row r="30" ht="15.75" customHeight="1">
      <c r="A30" s="1" t="s">
        <v>59</v>
      </c>
      <c r="B30" s="1" t="s">
        <v>16</v>
      </c>
      <c r="C30" s="1" t="s">
        <v>39</v>
      </c>
      <c r="D30" s="1">
        <v>0.04005013069037849</v>
      </c>
      <c r="E30" s="1">
        <v>0.7316231727600098</v>
      </c>
      <c r="F30" s="1">
        <v>0.7157592177391052</v>
      </c>
      <c r="G30" s="1">
        <v>0.7236042022705078</v>
      </c>
      <c r="H30" s="1">
        <v>0.44058500914076787</v>
      </c>
      <c r="I30" s="1">
        <v>0.1043956043956044</v>
      </c>
      <c r="J30" s="1">
        <v>0.18464351005484464</v>
      </c>
      <c r="K30" s="1">
        <v>0.2705667276051188</v>
      </c>
      <c r="L30" s="1">
        <v>0.0</v>
      </c>
      <c r="M30" s="1">
        <v>0.0</v>
      </c>
      <c r="N30" s="1">
        <v>0.9999999403953552</v>
      </c>
      <c r="O30" s="1">
        <v>0.9999999403953552</v>
      </c>
    </row>
    <row r="31" ht="15.75" customHeight="1">
      <c r="A31" s="1" t="s">
        <v>59</v>
      </c>
      <c r="B31" s="1" t="s">
        <v>16</v>
      </c>
      <c r="C31" s="1" t="s">
        <v>40</v>
      </c>
      <c r="D31" s="1">
        <v>0.0525325410673605</v>
      </c>
      <c r="E31" s="1">
        <v>0.7207369208335876</v>
      </c>
      <c r="F31" s="1">
        <v>0.7246726751327515</v>
      </c>
      <c r="G31" s="1">
        <v>0.7226994633674622</v>
      </c>
      <c r="H31" s="1">
        <v>0.4151260504201681</v>
      </c>
      <c r="I31" s="1">
        <v>0.10606060606060606</v>
      </c>
      <c r="J31" s="1">
        <v>0.173109243697479</v>
      </c>
      <c r="K31" s="1">
        <v>0.24033613445378152</v>
      </c>
      <c r="L31" s="1">
        <v>0.0</v>
      </c>
      <c r="M31" s="1">
        <v>0.0</v>
      </c>
      <c r="N31" s="1">
        <v>0.9999999403953552</v>
      </c>
      <c r="O31" s="1">
        <v>0.9999999403953552</v>
      </c>
    </row>
    <row r="32" ht="15.75" customHeight="1">
      <c r="A32" s="1" t="s">
        <v>60</v>
      </c>
      <c r="B32" s="1" t="s">
        <v>16</v>
      </c>
      <c r="C32" s="1" t="s">
        <v>35</v>
      </c>
      <c r="D32" s="1">
        <v>0.034403920173584554</v>
      </c>
      <c r="E32" s="1">
        <v>0.7536808252334595</v>
      </c>
      <c r="F32" s="1">
        <v>0.722561776638031</v>
      </c>
      <c r="G32" s="1">
        <v>0.7377933263778687</v>
      </c>
      <c r="H32" s="1">
        <v>0.45145228215767635</v>
      </c>
      <c r="I32" s="1">
        <v>0.1313383208645054</v>
      </c>
      <c r="J32" s="1">
        <v>0.17925311203319502</v>
      </c>
      <c r="K32" s="1">
        <v>0.25062240663900415</v>
      </c>
      <c r="L32" s="1">
        <v>0.0</v>
      </c>
      <c r="M32" s="1">
        <v>0.0</v>
      </c>
      <c r="N32" s="1">
        <v>0.9999999403953552</v>
      </c>
      <c r="O32" s="1">
        <v>0.9999999403953552</v>
      </c>
    </row>
    <row r="33" ht="15.75" customHeight="1">
      <c r="A33" s="1" t="s">
        <v>60</v>
      </c>
      <c r="B33" s="1" t="s">
        <v>16</v>
      </c>
      <c r="C33" s="1" t="s">
        <v>36</v>
      </c>
      <c r="D33" s="1">
        <v>0.04695004600859964</v>
      </c>
      <c r="E33" s="1">
        <v>0.7452321648597717</v>
      </c>
      <c r="F33" s="1">
        <v>0.725504457950592</v>
      </c>
      <c r="G33" s="1">
        <v>0.7352359890937805</v>
      </c>
      <c r="H33" s="1">
        <v>0.4839467501957713</v>
      </c>
      <c r="I33" s="1">
        <v>0.14901960784313725</v>
      </c>
      <c r="J33" s="1">
        <v>0.1816758026624902</v>
      </c>
      <c r="K33" s="1">
        <v>0.27564604541895066</v>
      </c>
      <c r="L33" s="1">
        <v>0.0</v>
      </c>
      <c r="M33" s="1">
        <v>0.0</v>
      </c>
      <c r="N33" s="1">
        <v>0.9999999403953552</v>
      </c>
      <c r="O33" s="1">
        <v>0.9999999403953552</v>
      </c>
    </row>
    <row r="34" ht="15.75" customHeight="1">
      <c r="A34" s="1" t="s">
        <v>60</v>
      </c>
      <c r="B34" s="1" t="s">
        <v>16</v>
      </c>
      <c r="C34" s="1" t="s">
        <v>37</v>
      </c>
      <c r="D34" s="1">
        <v>0.0532299979379468</v>
      </c>
      <c r="E34" s="1">
        <v>0.7463593482971191</v>
      </c>
      <c r="F34" s="1">
        <v>0.7106330394744873</v>
      </c>
      <c r="G34" s="1">
        <v>0.7280582189559937</v>
      </c>
      <c r="H34" s="1">
        <v>0.47364513734224206</v>
      </c>
      <c r="I34" s="1">
        <v>0.13382899628252787</v>
      </c>
      <c r="J34" s="1">
        <v>0.1900519673348181</v>
      </c>
      <c r="K34" s="1">
        <v>0.27616926503340755</v>
      </c>
      <c r="L34" s="1">
        <v>0.0</v>
      </c>
      <c r="M34" s="1">
        <v>0.0</v>
      </c>
      <c r="N34" s="1">
        <v>0.7693519592285156</v>
      </c>
      <c r="O34" s="1">
        <v>0.7693519592285156</v>
      </c>
    </row>
    <row r="35" ht="15.75" customHeight="1">
      <c r="A35" s="1" t="s">
        <v>60</v>
      </c>
      <c r="B35" s="1" t="s">
        <v>16</v>
      </c>
      <c r="C35" s="1" t="s">
        <v>38</v>
      </c>
      <c r="D35" s="1">
        <v>0.05489401561795902</v>
      </c>
      <c r="E35" s="1">
        <v>0.7342400550842285</v>
      </c>
      <c r="F35" s="1">
        <v>0.7086325883865356</v>
      </c>
      <c r="G35" s="1">
        <v>0.7212090492248535</v>
      </c>
      <c r="H35" s="1">
        <v>0.5094066570188133</v>
      </c>
      <c r="I35" s="1">
        <v>0.15362318840579708</v>
      </c>
      <c r="J35" s="1">
        <v>0.1939218523878437</v>
      </c>
      <c r="K35" s="1">
        <v>0.28075253256150506</v>
      </c>
      <c r="L35" s="1">
        <v>0.0</v>
      </c>
      <c r="M35" s="1">
        <v>0.0</v>
      </c>
      <c r="N35" s="1">
        <v>0.9999999403953552</v>
      </c>
      <c r="O35" s="1">
        <v>0.9999999403953552</v>
      </c>
    </row>
    <row r="36" ht="15.75" customHeight="1">
      <c r="A36" s="1" t="s">
        <v>60</v>
      </c>
      <c r="B36" s="1" t="s">
        <v>16</v>
      </c>
      <c r="C36" s="1" t="s">
        <v>39</v>
      </c>
      <c r="D36" s="1">
        <v>0.038507729376946735</v>
      </c>
      <c r="E36" s="1">
        <v>0.734266996383667</v>
      </c>
      <c r="F36" s="1">
        <v>0.7083609104156494</v>
      </c>
      <c r="G36" s="1">
        <v>0.7210813760757446</v>
      </c>
      <c r="H36" s="1">
        <v>0.4480135249366019</v>
      </c>
      <c r="I36" s="1">
        <v>0.14733276883996613</v>
      </c>
      <c r="J36" s="1">
        <v>0.1893491124260355</v>
      </c>
      <c r="K36" s="1">
        <v>0.23499577345731193</v>
      </c>
      <c r="L36" s="1">
        <v>0.0</v>
      </c>
      <c r="M36" s="1">
        <v>0.0</v>
      </c>
      <c r="N36" s="1">
        <v>0.9999999403953552</v>
      </c>
      <c r="O36" s="1">
        <v>0.9999999403953552</v>
      </c>
    </row>
    <row r="37" ht="15.75" customHeight="1">
      <c r="A37" s="1" t="s">
        <v>60</v>
      </c>
      <c r="B37" s="1" t="s">
        <v>16</v>
      </c>
      <c r="C37" s="1" t="s">
        <v>40</v>
      </c>
      <c r="D37" s="1">
        <v>0.04530186563480768</v>
      </c>
      <c r="E37" s="1">
        <v>0.7287964820861816</v>
      </c>
      <c r="F37" s="1">
        <v>0.7174278497695923</v>
      </c>
      <c r="G37" s="1">
        <v>0.7230675220489502</v>
      </c>
      <c r="H37" s="1">
        <v>0.472243940578577</v>
      </c>
      <c r="I37" s="1">
        <v>0.13469068128425998</v>
      </c>
      <c r="J37" s="1">
        <v>0.17044566067240033</v>
      </c>
      <c r="K37" s="1">
        <v>0.2611415168100078</v>
      </c>
      <c r="L37" s="1">
        <v>0.0</v>
      </c>
      <c r="M37" s="1">
        <v>0.0</v>
      </c>
      <c r="N37" s="1">
        <v>0.9999999403953552</v>
      </c>
      <c r="O37" s="1">
        <v>0.9999999403953552</v>
      </c>
    </row>
    <row r="38" ht="15.75" customHeight="1"/>
    <row r="39" ht="15.75" customHeight="1">
      <c r="C39" s="2"/>
    </row>
    <row r="40" ht="15.75" customHeight="1"/>
    <row r="41" ht="15.75" customHeight="1"/>
    <row r="42" ht="15.75" customHeight="1"/>
    <row r="43" ht="15.75" customHeight="1">
      <c r="B43" s="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3.43"/>
    <col customWidth="1" min="5" max="5" width="21.86"/>
    <col customWidth="1" min="6" max="6" width="18.86"/>
    <col customWidth="1" min="7" max="7" width="15.57"/>
    <col customWidth="1" min="8" max="10" width="12.0"/>
    <col customWidth="1" min="11" max="11" width="13.0"/>
    <col customWidth="1" min="12" max="12" width="18.0"/>
    <col customWidth="1" min="13" max="13" width="21.71"/>
    <col customWidth="1" min="14" max="14" width="13.57"/>
    <col customWidth="1" min="15" max="15" width="17.29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44</v>
      </c>
      <c r="D2" s="1">
        <v>0.011364789157803893</v>
      </c>
      <c r="E2" s="1">
        <v>0.7512167692184448</v>
      </c>
      <c r="F2" s="1">
        <v>0.730513334274292</v>
      </c>
      <c r="G2" s="1">
        <v>0.7407204508781433</v>
      </c>
      <c r="H2" s="1">
        <v>0.31086439333862015</v>
      </c>
      <c r="I2" s="1">
        <v>0.10643367752184274</v>
      </c>
      <c r="J2" s="1">
        <v>0.1379857256145916</v>
      </c>
      <c r="K2" s="1">
        <v>0.19191118160190326</v>
      </c>
      <c r="L2" s="1">
        <v>0.0</v>
      </c>
      <c r="M2" s="1">
        <v>0.0</v>
      </c>
      <c r="N2" s="1">
        <v>0.7693519592285156</v>
      </c>
      <c r="O2" s="1">
        <v>0.8153265714645386</v>
      </c>
    </row>
    <row r="3">
      <c r="A3" s="1" t="s">
        <v>15</v>
      </c>
      <c r="B3" s="1" t="s">
        <v>16</v>
      </c>
      <c r="C3" s="1" t="s">
        <v>45</v>
      </c>
      <c r="D3" s="1">
        <v>0.011364789157803893</v>
      </c>
      <c r="E3" s="1">
        <v>0.7512167692184448</v>
      </c>
      <c r="F3" s="1">
        <v>0.730513334274292</v>
      </c>
      <c r="G3" s="1">
        <v>0.7407204508781433</v>
      </c>
      <c r="H3" s="1">
        <v>0.31086439333862015</v>
      </c>
      <c r="I3" s="1">
        <v>0.10643367752184274</v>
      </c>
      <c r="J3" s="1">
        <v>0.1379857256145916</v>
      </c>
      <c r="K3" s="1">
        <v>0.19191118160190326</v>
      </c>
      <c r="L3" s="1">
        <v>0.0</v>
      </c>
      <c r="M3" s="1">
        <v>0.0</v>
      </c>
      <c r="N3" s="1">
        <v>0.7693519592285156</v>
      </c>
      <c r="O3" s="1">
        <v>0.8153265714645386</v>
      </c>
    </row>
    <row r="4">
      <c r="A4" s="1" t="s">
        <v>15</v>
      </c>
      <c r="B4" s="1" t="s">
        <v>16</v>
      </c>
      <c r="C4" s="1" t="s">
        <v>46</v>
      </c>
      <c r="D4" s="1">
        <v>0.012332304597867511</v>
      </c>
      <c r="E4" s="1">
        <v>0.7527696490287781</v>
      </c>
      <c r="F4" s="1">
        <v>0.7336876392364502</v>
      </c>
      <c r="G4" s="1">
        <v>0.7431061267852783</v>
      </c>
      <c r="H4" s="1">
        <v>0.32238349885408707</v>
      </c>
      <c r="I4" s="1">
        <v>0.09640397857689366</v>
      </c>
      <c r="J4" s="1">
        <v>0.15278838808250572</v>
      </c>
      <c r="K4" s="1">
        <v>0.1940412528647823</v>
      </c>
      <c r="L4" s="1">
        <v>0.0</v>
      </c>
      <c r="M4" s="1">
        <v>0.0</v>
      </c>
      <c r="N4" s="1">
        <v>0.7693519592285156</v>
      </c>
      <c r="O4" s="1">
        <v>0.8153265714645386</v>
      </c>
    </row>
    <row r="5">
      <c r="A5" s="1" t="s">
        <v>15</v>
      </c>
      <c r="B5" s="1" t="s">
        <v>16</v>
      </c>
      <c r="C5" s="1" t="s">
        <v>41</v>
      </c>
      <c r="D5" s="1">
        <v>0.01400133874309025</v>
      </c>
      <c r="E5" s="1">
        <v>0.7456180453300476</v>
      </c>
      <c r="F5" s="1">
        <v>0.7373365759849548</v>
      </c>
      <c r="G5" s="1">
        <v>0.7414541244506836</v>
      </c>
      <c r="H5" s="1">
        <v>0.3611940298507463</v>
      </c>
      <c r="I5" s="1">
        <v>0.10164424514200299</v>
      </c>
      <c r="J5" s="1">
        <v>0.16567164179104482</v>
      </c>
      <c r="K5" s="1">
        <v>0.21492537313432836</v>
      </c>
      <c r="L5" s="1">
        <v>0.7023138999938965</v>
      </c>
      <c r="M5" s="1">
        <v>0.6929934024810791</v>
      </c>
      <c r="N5" s="1">
        <v>0.7023138999938965</v>
      </c>
      <c r="O5" s="1">
        <v>0.6929934024810791</v>
      </c>
    </row>
    <row r="6">
      <c r="A6" s="1" t="s">
        <v>15</v>
      </c>
      <c r="B6" s="1" t="s">
        <v>16</v>
      </c>
      <c r="C6" s="1" t="s">
        <v>42</v>
      </c>
      <c r="D6" s="1">
        <v>0.02298249085325447</v>
      </c>
      <c r="E6" s="1">
        <v>0.7461888790130615</v>
      </c>
      <c r="F6" s="1">
        <v>0.7313482165336609</v>
      </c>
      <c r="G6" s="1">
        <v>0.7386940121650696</v>
      </c>
      <c r="H6" s="1">
        <v>0.3561046511627907</v>
      </c>
      <c r="I6" s="1">
        <v>0.09752547307132459</v>
      </c>
      <c r="J6" s="1">
        <v>0.16133720930232556</v>
      </c>
      <c r="K6" s="1">
        <v>0.21366279069767444</v>
      </c>
      <c r="L6" s="1">
        <v>0.0</v>
      </c>
      <c r="M6" s="1">
        <v>0.0</v>
      </c>
      <c r="N6" s="1">
        <v>0.7693519592285156</v>
      </c>
      <c r="O6" s="1">
        <v>0.8153265714645386</v>
      </c>
    </row>
    <row r="7">
      <c r="A7" s="1" t="s">
        <v>15</v>
      </c>
      <c r="B7" s="1" t="s">
        <v>16</v>
      </c>
      <c r="C7" s="1" t="s">
        <v>43</v>
      </c>
      <c r="D7" s="1">
        <v>0.02169715631552054</v>
      </c>
      <c r="E7" s="1">
        <v>0.7289597988128662</v>
      </c>
      <c r="F7" s="1">
        <v>0.7289950251579285</v>
      </c>
      <c r="G7" s="1">
        <v>0.728977382183075</v>
      </c>
      <c r="H7" s="1">
        <v>0.3567874911158494</v>
      </c>
      <c r="I7" s="1">
        <v>0.09537366548042704</v>
      </c>
      <c r="J7" s="1">
        <v>0.16062544420753375</v>
      </c>
      <c r="K7" s="1">
        <v>0.21321961620469082</v>
      </c>
      <c r="L7" s="1">
        <v>0.8271334767341614</v>
      </c>
      <c r="M7" s="1">
        <v>1.0</v>
      </c>
      <c r="N7" s="1">
        <v>0.8271334767341614</v>
      </c>
      <c r="O7" s="1">
        <v>1.0</v>
      </c>
    </row>
    <row r="8">
      <c r="A8" s="1" t="s">
        <v>56</v>
      </c>
      <c r="B8" s="1" t="s">
        <v>16</v>
      </c>
      <c r="C8" s="1" t="s">
        <v>44</v>
      </c>
      <c r="D8" s="1">
        <v>0.011668952783643242</v>
      </c>
      <c r="E8" s="1">
        <v>0.7384743690490723</v>
      </c>
      <c r="F8" s="1">
        <v>0.701697826385498</v>
      </c>
      <c r="G8" s="1">
        <v>0.7196165323257446</v>
      </c>
      <c r="H8" s="1">
        <v>0.30363036303630364</v>
      </c>
      <c r="I8" s="1">
        <v>0.0859504132231405</v>
      </c>
      <c r="J8" s="1">
        <v>0.15016501650165015</v>
      </c>
      <c r="K8" s="1">
        <v>0.19471947194719472</v>
      </c>
      <c r="L8" s="1">
        <v>0.0</v>
      </c>
      <c r="M8" s="1">
        <v>0.0</v>
      </c>
      <c r="N8" s="1">
        <v>0.7693519592285156</v>
      </c>
      <c r="O8" s="1">
        <v>0.48749488592147827</v>
      </c>
    </row>
    <row r="9">
      <c r="A9" s="1" t="s">
        <v>56</v>
      </c>
      <c r="B9" s="1" t="s">
        <v>16</v>
      </c>
      <c r="C9" s="1" t="s">
        <v>45</v>
      </c>
      <c r="D9" s="1">
        <v>0.011668952783643242</v>
      </c>
      <c r="E9" s="1">
        <v>0.7384743690490723</v>
      </c>
      <c r="F9" s="1">
        <v>0.701697826385498</v>
      </c>
      <c r="G9" s="1">
        <v>0.7196165323257446</v>
      </c>
      <c r="H9" s="1">
        <v>0.30363036303630364</v>
      </c>
      <c r="I9" s="1">
        <v>0.0859504132231405</v>
      </c>
      <c r="J9" s="1">
        <v>0.15016501650165015</v>
      </c>
      <c r="K9" s="1">
        <v>0.19471947194719472</v>
      </c>
      <c r="L9" s="1">
        <v>0.0</v>
      </c>
      <c r="M9" s="1">
        <v>0.0</v>
      </c>
      <c r="N9" s="1">
        <v>0.7693519592285156</v>
      </c>
      <c r="O9" s="1">
        <v>0.48749488592147827</v>
      </c>
    </row>
    <row r="10">
      <c r="A10" s="1" t="s">
        <v>56</v>
      </c>
      <c r="B10" s="1" t="s">
        <v>16</v>
      </c>
      <c r="C10" s="1" t="s">
        <v>46</v>
      </c>
      <c r="D10" s="1">
        <v>0.01170943430564898</v>
      </c>
      <c r="E10" s="1">
        <v>0.7281744480133057</v>
      </c>
      <c r="F10" s="1">
        <v>0.6890741586685181</v>
      </c>
      <c r="G10" s="1">
        <v>0.7080849409103394</v>
      </c>
      <c r="H10" s="1">
        <v>0.32222222222222224</v>
      </c>
      <c r="I10" s="1">
        <v>0.07949125596184418</v>
      </c>
      <c r="J10" s="1">
        <v>0.1619047619047619</v>
      </c>
      <c r="K10" s="1">
        <v>0.1888888888888889</v>
      </c>
      <c r="L10" s="1">
        <v>0.0</v>
      </c>
      <c r="M10" s="1">
        <v>0.0</v>
      </c>
      <c r="N10" s="1">
        <v>0.7693519592285156</v>
      </c>
      <c r="O10" s="1">
        <v>0.48749488592147827</v>
      </c>
    </row>
    <row r="11">
      <c r="A11" s="1" t="s">
        <v>56</v>
      </c>
      <c r="B11" s="1" t="s">
        <v>16</v>
      </c>
      <c r="C11" s="1" t="s">
        <v>41</v>
      </c>
      <c r="D11" s="1">
        <v>0.010740672090066503</v>
      </c>
      <c r="E11" s="1">
        <v>0.7153716087341309</v>
      </c>
      <c r="F11" s="1">
        <v>0.7016189098358154</v>
      </c>
      <c r="G11" s="1">
        <v>0.7084285020828247</v>
      </c>
      <c r="H11" s="1">
        <v>0.33152594887683967</v>
      </c>
      <c r="I11" s="1">
        <v>0.057408844065166796</v>
      </c>
      <c r="J11" s="1">
        <v>0.15956622773044152</v>
      </c>
      <c r="K11" s="1">
        <v>0.21068938807126256</v>
      </c>
      <c r="L11" s="1">
        <v>0.7023138999938965</v>
      </c>
      <c r="M11" s="1">
        <v>0.6429824233055115</v>
      </c>
      <c r="N11" s="1">
        <v>0.7023138999938965</v>
      </c>
      <c r="O11" s="1">
        <v>0.6429824233055115</v>
      </c>
    </row>
    <row r="12">
      <c r="A12" s="1" t="s">
        <v>56</v>
      </c>
      <c r="B12" s="1" t="s">
        <v>16</v>
      </c>
      <c r="C12" s="1" t="s">
        <v>42</v>
      </c>
      <c r="D12" s="1">
        <v>0.02348984272603956</v>
      </c>
      <c r="E12" s="1">
        <v>0.7359343767166138</v>
      </c>
      <c r="F12" s="1">
        <v>0.699051022529602</v>
      </c>
      <c r="G12" s="1">
        <v>0.7170186638832092</v>
      </c>
      <c r="H12" s="1">
        <v>0.3225320271288621</v>
      </c>
      <c r="I12" s="1">
        <v>0.07849056603773585</v>
      </c>
      <c r="J12" s="1">
        <v>0.15825169555388094</v>
      </c>
      <c r="K12" s="1">
        <v>0.19894498869630745</v>
      </c>
      <c r="L12" s="1">
        <v>0.0</v>
      </c>
      <c r="M12" s="1">
        <v>0.0</v>
      </c>
      <c r="N12" s="1">
        <v>0.7693519592285156</v>
      </c>
      <c r="O12" s="1">
        <v>0.48749488592147827</v>
      </c>
    </row>
    <row r="13">
      <c r="A13" s="1" t="s">
        <v>56</v>
      </c>
      <c r="B13" s="1" t="s">
        <v>16</v>
      </c>
      <c r="C13" s="1" t="s">
        <v>43</v>
      </c>
      <c r="D13" s="1">
        <v>0.02109859940844629</v>
      </c>
      <c r="E13" s="1">
        <v>0.721277117729187</v>
      </c>
      <c r="F13" s="1">
        <v>0.7057843208312988</v>
      </c>
      <c r="G13" s="1">
        <v>0.7134466767311096</v>
      </c>
      <c r="H13" s="1">
        <v>0.34609720176730485</v>
      </c>
      <c r="I13" s="1">
        <v>0.08112094395280235</v>
      </c>
      <c r="J13" s="1">
        <v>0.1487481590574374</v>
      </c>
      <c r="K13" s="1">
        <v>0.20913107511045656</v>
      </c>
      <c r="L13" s="1">
        <v>0.8271334767341614</v>
      </c>
      <c r="M13" s="1">
        <v>0.5211315751075745</v>
      </c>
      <c r="N13" s="1">
        <v>0.8271334767341614</v>
      </c>
      <c r="O13" s="1">
        <v>0.5211315751075745</v>
      </c>
    </row>
    <row r="14">
      <c r="A14" s="1" t="s">
        <v>57</v>
      </c>
      <c r="B14" s="1" t="s">
        <v>16</v>
      </c>
      <c r="C14" s="1" t="s">
        <v>44</v>
      </c>
      <c r="D14" s="1">
        <v>0.018002890996803276</v>
      </c>
      <c r="E14" s="1">
        <v>0.763245701789856</v>
      </c>
      <c r="F14" s="1">
        <v>0.7312734723091125</v>
      </c>
      <c r="G14" s="1">
        <v>0.7469176054000854</v>
      </c>
      <c r="H14" s="1">
        <v>0.3281519861830743</v>
      </c>
      <c r="I14" s="1">
        <v>0.10726643598615916</v>
      </c>
      <c r="J14" s="1">
        <v>0.14853195164075994</v>
      </c>
      <c r="K14" s="1">
        <v>0.19516407599309157</v>
      </c>
      <c r="L14" s="1">
        <v>0.0</v>
      </c>
      <c r="M14" s="1">
        <v>0.0</v>
      </c>
      <c r="N14" s="1">
        <v>0.7693519592285156</v>
      </c>
      <c r="O14" s="1">
        <v>0.7693519592285156</v>
      </c>
    </row>
    <row r="15">
      <c r="A15" s="1" t="s">
        <v>57</v>
      </c>
      <c r="B15" s="1" t="s">
        <v>16</v>
      </c>
      <c r="C15" s="1" t="s">
        <v>45</v>
      </c>
      <c r="D15" s="1">
        <v>0.018002890996803276</v>
      </c>
      <c r="E15" s="1">
        <v>0.763245701789856</v>
      </c>
      <c r="F15" s="1">
        <v>0.7312734723091125</v>
      </c>
      <c r="G15" s="1">
        <v>0.7469176054000854</v>
      </c>
      <c r="H15" s="1">
        <v>0.3281519861830743</v>
      </c>
      <c r="I15" s="1">
        <v>0.10726643598615916</v>
      </c>
      <c r="J15" s="1">
        <v>0.14853195164075994</v>
      </c>
      <c r="K15" s="1">
        <v>0.19516407599309157</v>
      </c>
      <c r="L15" s="1">
        <v>0.0</v>
      </c>
      <c r="M15" s="1">
        <v>0.0</v>
      </c>
      <c r="N15" s="1">
        <v>0.7693519592285156</v>
      </c>
      <c r="O15" s="1">
        <v>0.7693519592285156</v>
      </c>
    </row>
    <row r="16">
      <c r="A16" s="1" t="s">
        <v>57</v>
      </c>
      <c r="B16" s="1" t="s">
        <v>16</v>
      </c>
      <c r="C16" s="1" t="s">
        <v>46</v>
      </c>
      <c r="D16" s="1">
        <v>0.02053894991158001</v>
      </c>
      <c r="E16" s="1">
        <v>0.7468331456184387</v>
      </c>
      <c r="F16" s="1">
        <v>0.7222006320953369</v>
      </c>
      <c r="G16" s="1">
        <v>0.7343104481697083</v>
      </c>
      <c r="H16" s="1">
        <v>0.3598673300165838</v>
      </c>
      <c r="I16" s="1">
        <v>0.10299003322259136</v>
      </c>
      <c r="J16" s="1">
        <v>0.1691542288557214</v>
      </c>
      <c r="K16" s="1">
        <v>0.22388059701492535</v>
      </c>
      <c r="L16" s="1">
        <v>0.0</v>
      </c>
      <c r="M16" s="1">
        <v>0.0</v>
      </c>
      <c r="N16" s="1">
        <v>0.7693519592285156</v>
      </c>
      <c r="O16" s="1">
        <v>0.7693519592285156</v>
      </c>
    </row>
    <row r="17">
      <c r="A17" s="1" t="s">
        <v>57</v>
      </c>
      <c r="B17" s="1" t="s">
        <v>16</v>
      </c>
      <c r="C17" s="1" t="s">
        <v>41</v>
      </c>
      <c r="D17" s="1">
        <v>0.021702246409105987</v>
      </c>
      <c r="E17" s="1">
        <v>0.7419450283050537</v>
      </c>
      <c r="F17" s="1">
        <v>0.7323743104934692</v>
      </c>
      <c r="G17" s="1">
        <v>0.7371285557746887</v>
      </c>
      <c r="H17" s="1">
        <v>0.3783346806790623</v>
      </c>
      <c r="I17" s="1">
        <v>0.0825910931174089</v>
      </c>
      <c r="J17" s="1">
        <v>0.17784963621665317</v>
      </c>
      <c r="K17" s="1">
        <v>0.2231204527081649</v>
      </c>
      <c r="L17" s="1">
        <v>0.7023138999938965</v>
      </c>
      <c r="M17" s="1">
        <v>0.7023138999938965</v>
      </c>
      <c r="N17" s="1">
        <v>0.7023138999938965</v>
      </c>
      <c r="O17" s="1">
        <v>0.7023138999938965</v>
      </c>
    </row>
    <row r="18">
      <c r="A18" s="1" t="s">
        <v>57</v>
      </c>
      <c r="B18" s="1" t="s">
        <v>16</v>
      </c>
      <c r="C18" s="1" t="s">
        <v>42</v>
      </c>
      <c r="D18" s="1">
        <v>0.034569283233308226</v>
      </c>
      <c r="E18" s="1">
        <v>0.7505068778991699</v>
      </c>
      <c r="F18" s="1">
        <v>0.7258110046386719</v>
      </c>
      <c r="G18" s="1">
        <v>0.7379523515701294</v>
      </c>
      <c r="H18" s="1">
        <v>0.40062843676355064</v>
      </c>
      <c r="I18" s="1">
        <v>0.12116443745082614</v>
      </c>
      <c r="J18" s="1">
        <v>0.18224666142969365</v>
      </c>
      <c r="K18" s="1">
        <v>0.22623723487824038</v>
      </c>
      <c r="L18" s="1">
        <v>0.0</v>
      </c>
      <c r="M18" s="1">
        <v>0.0</v>
      </c>
      <c r="N18" s="1">
        <v>0.7693519592285156</v>
      </c>
      <c r="O18" s="1">
        <v>0.7693519592285156</v>
      </c>
    </row>
    <row r="19">
      <c r="A19" s="1" t="s">
        <v>57</v>
      </c>
      <c r="B19" s="1" t="s">
        <v>16</v>
      </c>
      <c r="C19" s="1" t="s">
        <v>43</v>
      </c>
      <c r="D19" s="1">
        <v>0.030523359602045323</v>
      </c>
      <c r="E19" s="1">
        <v>0.7329010367393494</v>
      </c>
      <c r="F19" s="1">
        <v>0.7288939952850342</v>
      </c>
      <c r="G19" s="1">
        <v>0.73089200258255</v>
      </c>
      <c r="H19" s="1">
        <v>0.3911042944785276</v>
      </c>
      <c r="I19" s="1">
        <v>0.11213517665130568</v>
      </c>
      <c r="J19" s="1">
        <v>0.17024539877300615</v>
      </c>
      <c r="K19" s="1">
        <v>0.22852760736196318</v>
      </c>
      <c r="L19" s="1">
        <v>0.8271334767341614</v>
      </c>
      <c r="M19" s="1">
        <v>0.8271334767341614</v>
      </c>
      <c r="N19" s="1">
        <v>0.8271334767341614</v>
      </c>
      <c r="O19" s="1">
        <v>0.8271334767341614</v>
      </c>
    </row>
    <row r="20">
      <c r="A20" s="1" t="s">
        <v>58</v>
      </c>
      <c r="B20" s="1" t="s">
        <v>16</v>
      </c>
      <c r="C20" s="1" t="s">
        <v>44</v>
      </c>
      <c r="D20" s="1">
        <v>0.01527891215720533</v>
      </c>
      <c r="E20" s="1">
        <v>0.737402081489563</v>
      </c>
      <c r="F20" s="1">
        <v>0.713494062423706</v>
      </c>
      <c r="G20" s="1">
        <v>0.7252510786056519</v>
      </c>
      <c r="H20" s="1">
        <v>0.3504356243949661</v>
      </c>
      <c r="I20" s="1">
        <v>0.08535402521823474</v>
      </c>
      <c r="J20" s="1">
        <v>0.1626331074540174</v>
      </c>
      <c r="K20" s="1">
        <v>0.19361084220716362</v>
      </c>
      <c r="L20" s="1">
        <v>0.0</v>
      </c>
      <c r="M20" s="1">
        <v>0.0</v>
      </c>
      <c r="N20" s="1">
        <v>0.7693519592285156</v>
      </c>
      <c r="O20" s="1">
        <v>0.7693519592285156</v>
      </c>
    </row>
    <row r="21" ht="15.75" customHeight="1">
      <c r="A21" s="1" t="s">
        <v>58</v>
      </c>
      <c r="B21" s="1" t="s">
        <v>16</v>
      </c>
      <c r="C21" s="1" t="s">
        <v>45</v>
      </c>
      <c r="D21" s="1">
        <v>0.01527891215720533</v>
      </c>
      <c r="E21" s="1">
        <v>0.737402081489563</v>
      </c>
      <c r="F21" s="1">
        <v>0.713494062423706</v>
      </c>
      <c r="G21" s="1">
        <v>0.7252510786056519</v>
      </c>
      <c r="H21" s="1">
        <v>0.3504356243949661</v>
      </c>
      <c r="I21" s="1">
        <v>0.08535402521823474</v>
      </c>
      <c r="J21" s="1">
        <v>0.1626331074540174</v>
      </c>
      <c r="K21" s="1">
        <v>0.19361084220716362</v>
      </c>
      <c r="L21" s="1">
        <v>0.0</v>
      </c>
      <c r="M21" s="1">
        <v>0.0</v>
      </c>
      <c r="N21" s="1">
        <v>0.7693519592285156</v>
      </c>
      <c r="O21" s="1">
        <v>0.7693519592285156</v>
      </c>
    </row>
    <row r="22" ht="15.75" customHeight="1">
      <c r="A22" s="1" t="s">
        <v>58</v>
      </c>
      <c r="B22" s="1" t="s">
        <v>16</v>
      </c>
      <c r="C22" s="1" t="s">
        <v>46</v>
      </c>
      <c r="D22" s="1">
        <v>0.0</v>
      </c>
      <c r="E22" s="1">
        <v>0.7392860651016235</v>
      </c>
      <c r="F22" s="1">
        <v>0.7178995013237</v>
      </c>
      <c r="G22" s="1">
        <v>0.7284358739852905</v>
      </c>
      <c r="H22" s="1">
        <v>0.3404255319148936</v>
      </c>
      <c r="I22" s="1">
        <v>0.08897126969416126</v>
      </c>
      <c r="J22" s="1">
        <v>0.1646623496762257</v>
      </c>
      <c r="K22" s="1">
        <v>0.19796484736355227</v>
      </c>
      <c r="L22" s="1">
        <v>0.0</v>
      </c>
      <c r="M22" s="1">
        <v>0.0</v>
      </c>
      <c r="N22" s="1">
        <v>0.7693519592285156</v>
      </c>
      <c r="O22" s="1">
        <v>0.7693519592285156</v>
      </c>
    </row>
    <row r="23" ht="15.75" customHeight="1">
      <c r="A23" s="1" t="s">
        <v>58</v>
      </c>
      <c r="B23" s="1" t="s">
        <v>16</v>
      </c>
      <c r="C23" s="1" t="s">
        <v>41</v>
      </c>
      <c r="D23" s="1">
        <v>0.016187655875222435</v>
      </c>
      <c r="E23" s="1">
        <v>0.7338931560516357</v>
      </c>
      <c r="F23" s="1">
        <v>0.725271999835968</v>
      </c>
      <c r="G23" s="1">
        <v>0.7295571565628052</v>
      </c>
      <c r="H23" s="1">
        <v>0.3741007194244604</v>
      </c>
      <c r="I23" s="1">
        <v>0.06306306306306307</v>
      </c>
      <c r="J23" s="1">
        <v>0.1618705035971223</v>
      </c>
      <c r="K23" s="1">
        <v>0.2158273381294964</v>
      </c>
      <c r="L23" s="1">
        <v>0.7023138999938965</v>
      </c>
      <c r="M23" s="1">
        <v>0.7023138999938965</v>
      </c>
      <c r="N23" s="1">
        <v>0.7023138999938965</v>
      </c>
      <c r="O23" s="1">
        <v>0.7023138999938965</v>
      </c>
    </row>
    <row r="24" ht="15.75" customHeight="1">
      <c r="A24" s="1" t="s">
        <v>58</v>
      </c>
      <c r="B24" s="1" t="s">
        <v>16</v>
      </c>
      <c r="C24" s="1" t="s">
        <v>42</v>
      </c>
      <c r="D24" s="1">
        <v>0.02362758040151927</v>
      </c>
      <c r="E24" s="1">
        <v>0.7368090152740479</v>
      </c>
      <c r="F24" s="1">
        <v>0.7243735790252686</v>
      </c>
      <c r="G24" s="1">
        <v>0.7305383682250977</v>
      </c>
      <c r="H24" s="1">
        <v>0.37979094076655057</v>
      </c>
      <c r="I24" s="1">
        <v>0.0837696335078534</v>
      </c>
      <c r="J24" s="1">
        <v>0.1707317073170732</v>
      </c>
      <c r="K24" s="1">
        <v>0.23170731707317074</v>
      </c>
      <c r="L24" s="1">
        <v>0.0</v>
      </c>
      <c r="M24" s="1">
        <v>0.0</v>
      </c>
      <c r="N24" s="1">
        <v>0.7693519592285156</v>
      </c>
      <c r="O24" s="1">
        <v>0.7693519592285156</v>
      </c>
    </row>
    <row r="25" ht="15.75" customHeight="1">
      <c r="A25" s="1" t="s">
        <v>58</v>
      </c>
      <c r="B25" s="1" t="s">
        <v>16</v>
      </c>
      <c r="C25" s="1" t="s">
        <v>43</v>
      </c>
      <c r="D25" s="1">
        <v>0.01927535405296788</v>
      </c>
      <c r="E25" s="1">
        <v>0.727728545665741</v>
      </c>
      <c r="F25" s="1">
        <v>0.7264883518218994</v>
      </c>
      <c r="G25" s="1">
        <v>0.7271078824996948</v>
      </c>
      <c r="H25" s="1">
        <v>0.3782866836301951</v>
      </c>
      <c r="I25" s="1">
        <v>0.08496176720475786</v>
      </c>
      <c r="J25" s="1">
        <v>0.1611535199321459</v>
      </c>
      <c r="K25" s="1">
        <v>0.22561492790500426</v>
      </c>
      <c r="L25" s="1">
        <v>0.8271334767341614</v>
      </c>
      <c r="M25" s="1">
        <v>0.8271334767341614</v>
      </c>
      <c r="N25" s="1">
        <v>0.8271334767341614</v>
      </c>
      <c r="O25" s="1">
        <v>0.8271334767341614</v>
      </c>
    </row>
    <row r="26" ht="15.75" customHeight="1">
      <c r="A26" s="1" t="s">
        <v>59</v>
      </c>
      <c r="B26" s="1" t="s">
        <v>16</v>
      </c>
      <c r="C26" s="1" t="s">
        <v>44</v>
      </c>
      <c r="D26" s="1">
        <v>0.02588242521914685</v>
      </c>
      <c r="E26" s="1">
        <v>0.7410961985588074</v>
      </c>
      <c r="F26" s="1">
        <v>0.714115560054779</v>
      </c>
      <c r="G26" s="1">
        <v>0.7273557782173157</v>
      </c>
      <c r="H26" s="1">
        <v>0.36751269035532996</v>
      </c>
      <c r="I26" s="1">
        <v>0.08341810783316378</v>
      </c>
      <c r="J26" s="1">
        <v>0.16243654822335027</v>
      </c>
      <c r="K26" s="1">
        <v>0.2152284263959391</v>
      </c>
      <c r="L26" s="1">
        <v>0.0</v>
      </c>
      <c r="M26" s="1">
        <v>0.0</v>
      </c>
      <c r="N26" s="1">
        <v>0.7693519592285156</v>
      </c>
      <c r="O26" s="1">
        <v>0.7693519592285156</v>
      </c>
    </row>
    <row r="27" ht="15.75" customHeight="1">
      <c r="A27" s="1" t="s">
        <v>59</v>
      </c>
      <c r="B27" s="1" t="s">
        <v>16</v>
      </c>
      <c r="C27" s="1" t="s">
        <v>45</v>
      </c>
      <c r="D27" s="1">
        <v>0.02588242521914685</v>
      </c>
      <c r="E27" s="1">
        <v>0.7410961985588074</v>
      </c>
      <c r="F27" s="1">
        <v>0.714115560054779</v>
      </c>
      <c r="G27" s="1">
        <v>0.7273557782173157</v>
      </c>
      <c r="H27" s="1">
        <v>0.36751269035532996</v>
      </c>
      <c r="I27" s="1">
        <v>0.08341810783316378</v>
      </c>
      <c r="J27" s="1">
        <v>0.16243654822335027</v>
      </c>
      <c r="K27" s="1">
        <v>0.2152284263959391</v>
      </c>
      <c r="L27" s="1">
        <v>0.0</v>
      </c>
      <c r="M27" s="1">
        <v>0.0</v>
      </c>
      <c r="N27" s="1">
        <v>0.7693519592285156</v>
      </c>
      <c r="O27" s="1">
        <v>0.7693519592285156</v>
      </c>
    </row>
    <row r="28" ht="15.75" customHeight="1">
      <c r="A28" s="1" t="s">
        <v>59</v>
      </c>
      <c r="B28" s="1" t="s">
        <v>16</v>
      </c>
      <c r="C28" s="1" t="s">
        <v>46</v>
      </c>
      <c r="D28" s="1">
        <v>0.03268272469689471</v>
      </c>
      <c r="E28" s="1">
        <v>0.7386230826377869</v>
      </c>
      <c r="F28" s="1">
        <v>0.7118315100669861</v>
      </c>
      <c r="G28" s="1">
        <v>0.7249798774719238</v>
      </c>
      <c r="H28" s="1">
        <v>0.3794772507260407</v>
      </c>
      <c r="I28" s="1">
        <v>0.12221144519883607</v>
      </c>
      <c r="J28" s="1">
        <v>0.17812197483059047</v>
      </c>
      <c r="K28" s="1">
        <v>0.2323330106485963</v>
      </c>
      <c r="L28" s="1">
        <v>0.0</v>
      </c>
      <c r="M28" s="1">
        <v>0.0</v>
      </c>
      <c r="N28" s="1">
        <v>0.7693519592285156</v>
      </c>
      <c r="O28" s="1">
        <v>0.7693519592285156</v>
      </c>
    </row>
    <row r="29" ht="15.75" customHeight="1">
      <c r="A29" s="1" t="s">
        <v>59</v>
      </c>
      <c r="B29" s="1" t="s">
        <v>16</v>
      </c>
      <c r="C29" s="1" t="s">
        <v>41</v>
      </c>
      <c r="D29" s="1">
        <v>0.024143386010189123</v>
      </c>
      <c r="E29" s="1">
        <v>0.738052487373352</v>
      </c>
      <c r="F29" s="1">
        <v>0.7264969944953918</v>
      </c>
      <c r="G29" s="1">
        <v>0.7322291135787964</v>
      </c>
      <c r="H29" s="1">
        <v>0.400375939849624</v>
      </c>
      <c r="I29" s="1">
        <v>0.11864406779661019</v>
      </c>
      <c r="J29" s="1">
        <v>0.17857142857142858</v>
      </c>
      <c r="K29" s="1">
        <v>0.24248120300751883</v>
      </c>
      <c r="L29" s="1">
        <v>0.7023138999938965</v>
      </c>
      <c r="M29" s="1">
        <v>0.7023138999938965</v>
      </c>
      <c r="N29" s="1">
        <v>0.7023138999938965</v>
      </c>
      <c r="O29" s="1">
        <v>0.7023138999938965</v>
      </c>
    </row>
    <row r="30" ht="15.75" customHeight="1">
      <c r="A30" s="1" t="s">
        <v>59</v>
      </c>
      <c r="B30" s="1" t="s">
        <v>16</v>
      </c>
      <c r="C30" s="1" t="s">
        <v>42</v>
      </c>
      <c r="D30" s="1">
        <v>0.03799755314826677</v>
      </c>
      <c r="E30" s="1">
        <v>0.7417626976966858</v>
      </c>
      <c r="F30" s="1">
        <v>0.7207703590393066</v>
      </c>
      <c r="G30" s="1">
        <v>0.7311158776283264</v>
      </c>
      <c r="H30" s="1">
        <v>0.3981818181818182</v>
      </c>
      <c r="I30" s="1">
        <v>0.1202185792349727</v>
      </c>
      <c r="J30" s="1">
        <v>0.17454545454545453</v>
      </c>
      <c r="K30" s="1">
        <v>0.23090909090909092</v>
      </c>
      <c r="L30" s="1">
        <v>0.0</v>
      </c>
      <c r="M30" s="1">
        <v>0.0</v>
      </c>
      <c r="N30" s="1">
        <v>0.7693519592285156</v>
      </c>
      <c r="O30" s="1">
        <v>0.7693519592285156</v>
      </c>
    </row>
    <row r="31" ht="15.75" customHeight="1">
      <c r="A31" s="1" t="s">
        <v>59</v>
      </c>
      <c r="B31" s="1" t="s">
        <v>16</v>
      </c>
      <c r="C31" s="1" t="s">
        <v>43</v>
      </c>
      <c r="D31" s="1">
        <v>0.026282073263141113</v>
      </c>
      <c r="E31" s="1">
        <v>0.7215042114257812</v>
      </c>
      <c r="F31" s="1">
        <v>0.7207000851631165</v>
      </c>
      <c r="G31" s="1">
        <v>0.7211019396781921</v>
      </c>
      <c r="H31" s="1">
        <v>0.385499557913351</v>
      </c>
      <c r="I31" s="1">
        <v>0.08857395925597875</v>
      </c>
      <c r="J31" s="1">
        <v>0.16799292661361628</v>
      </c>
      <c r="K31" s="1">
        <v>0.23519009725906276</v>
      </c>
      <c r="L31" s="1">
        <v>0.8271334767341614</v>
      </c>
      <c r="M31" s="1">
        <v>0.8271334767341614</v>
      </c>
      <c r="N31" s="1">
        <v>0.8271334767341614</v>
      </c>
      <c r="O31" s="1">
        <v>0.8271334767341614</v>
      </c>
    </row>
    <row r="32" ht="15.75" customHeight="1">
      <c r="A32" s="1" t="s">
        <v>60</v>
      </c>
      <c r="B32" s="1" t="s">
        <v>16</v>
      </c>
      <c r="C32" s="1" t="s">
        <v>44</v>
      </c>
      <c r="D32" s="1">
        <v>0.02723029221850601</v>
      </c>
      <c r="E32" s="1">
        <v>0.7521703243255615</v>
      </c>
      <c r="F32" s="1">
        <v>0.7175021171569824</v>
      </c>
      <c r="G32" s="1">
        <v>0.7344273328781128</v>
      </c>
      <c r="H32" s="1">
        <v>0.3798882681564246</v>
      </c>
      <c r="I32" s="1">
        <v>0.13432835820895522</v>
      </c>
      <c r="J32" s="1">
        <v>0.16945996275605213</v>
      </c>
      <c r="K32" s="1">
        <v>0.22532588454376162</v>
      </c>
      <c r="L32" s="1">
        <v>0.0</v>
      </c>
      <c r="M32" s="1">
        <v>0.0</v>
      </c>
      <c r="N32" s="1">
        <v>0.7693519592285156</v>
      </c>
      <c r="O32" s="1">
        <v>0.7693519592285156</v>
      </c>
    </row>
    <row r="33" ht="15.75" customHeight="1">
      <c r="A33" s="1" t="s">
        <v>60</v>
      </c>
      <c r="B33" s="1" t="s">
        <v>16</v>
      </c>
      <c r="C33" s="1" t="s">
        <v>45</v>
      </c>
      <c r="D33" s="1">
        <v>0.02723029221850601</v>
      </c>
      <c r="E33" s="1">
        <v>0.7521703243255615</v>
      </c>
      <c r="F33" s="1">
        <v>0.7175021171569824</v>
      </c>
      <c r="G33" s="1">
        <v>0.7344273328781128</v>
      </c>
      <c r="H33" s="1">
        <v>0.3798882681564246</v>
      </c>
      <c r="I33" s="1">
        <v>0.13432835820895522</v>
      </c>
      <c r="J33" s="1">
        <v>0.16945996275605213</v>
      </c>
      <c r="K33" s="1">
        <v>0.22532588454376162</v>
      </c>
      <c r="L33" s="1">
        <v>0.0</v>
      </c>
      <c r="M33" s="1">
        <v>0.0</v>
      </c>
      <c r="N33" s="1">
        <v>0.7693519592285156</v>
      </c>
      <c r="O33" s="1">
        <v>0.7693519592285156</v>
      </c>
    </row>
    <row r="34" ht="15.75" customHeight="1">
      <c r="A34" s="1" t="s">
        <v>60</v>
      </c>
      <c r="B34" s="1" t="s">
        <v>16</v>
      </c>
      <c r="C34" s="1" t="s">
        <v>46</v>
      </c>
      <c r="D34" s="1">
        <v>0.02809783875873312</v>
      </c>
      <c r="E34" s="1">
        <v>0.7391908764839172</v>
      </c>
      <c r="F34" s="1">
        <v>0.7132412791252136</v>
      </c>
      <c r="G34" s="1">
        <v>0.7259842753410339</v>
      </c>
      <c r="H34" s="1">
        <v>0.40463458110516937</v>
      </c>
      <c r="I34" s="1">
        <v>0.13392857142857142</v>
      </c>
      <c r="J34" s="1">
        <v>0.18360071301247774</v>
      </c>
      <c r="K34" s="1">
        <v>0.22816399286987524</v>
      </c>
      <c r="L34" s="1">
        <v>0.0</v>
      </c>
      <c r="M34" s="1">
        <v>0.0</v>
      </c>
      <c r="N34" s="1">
        <v>0.7693519592285156</v>
      </c>
      <c r="O34" s="1">
        <v>0.7693519592285156</v>
      </c>
    </row>
    <row r="35" ht="15.75" customHeight="1">
      <c r="A35" s="1" t="s">
        <v>60</v>
      </c>
      <c r="B35" s="1" t="s">
        <v>16</v>
      </c>
      <c r="C35" s="1" t="s">
        <v>41</v>
      </c>
      <c r="D35" s="1">
        <v>0.026255253648872132</v>
      </c>
      <c r="E35" s="1">
        <v>0.7350645065307617</v>
      </c>
      <c r="F35" s="1">
        <v>0.7220664024353027</v>
      </c>
      <c r="G35" s="1">
        <v>0.7285074591636658</v>
      </c>
      <c r="H35" s="1">
        <v>0.398959236773634</v>
      </c>
      <c r="I35" s="1">
        <v>0.0955690703735882</v>
      </c>
      <c r="J35" s="1">
        <v>0.18733738074588033</v>
      </c>
      <c r="K35" s="1">
        <v>0.22549869904596703</v>
      </c>
      <c r="L35" s="1">
        <v>0.7023138999938965</v>
      </c>
      <c r="M35" s="1">
        <v>0.7023138999938965</v>
      </c>
      <c r="N35" s="1">
        <v>0.7023138999938965</v>
      </c>
      <c r="O35" s="1">
        <v>0.7023138999938965</v>
      </c>
    </row>
    <row r="36" ht="15.75" customHeight="1">
      <c r="A36" s="1" t="s">
        <v>60</v>
      </c>
      <c r="B36" s="1" t="s">
        <v>16</v>
      </c>
      <c r="C36" s="1" t="s">
        <v>42</v>
      </c>
      <c r="D36" s="1">
        <v>0.034913084722044824</v>
      </c>
      <c r="E36" s="1">
        <v>0.7370110750198364</v>
      </c>
      <c r="F36" s="1">
        <v>0.710284948348999</v>
      </c>
      <c r="G36" s="1">
        <v>0.7234012484550476</v>
      </c>
      <c r="H36" s="1">
        <v>0.41379310344827586</v>
      </c>
      <c r="I36" s="1">
        <v>0.13142375737152487</v>
      </c>
      <c r="J36" s="1">
        <v>0.18334735071488648</v>
      </c>
      <c r="K36" s="1">
        <v>0.24558452481076534</v>
      </c>
      <c r="L36" s="1">
        <v>0.0</v>
      </c>
      <c r="M36" s="1">
        <v>0.0</v>
      </c>
      <c r="N36" s="1">
        <v>0.7693519592285156</v>
      </c>
      <c r="O36" s="1">
        <v>0.7693519592285156</v>
      </c>
    </row>
    <row r="37" ht="15.75" customHeight="1">
      <c r="A37" s="1" t="s">
        <v>60</v>
      </c>
      <c r="B37" s="1" t="s">
        <v>16</v>
      </c>
      <c r="C37" s="1" t="s">
        <v>43</v>
      </c>
      <c r="D37" s="1">
        <v>0.0316670195303448</v>
      </c>
      <c r="E37" s="1">
        <v>0.7339168787002563</v>
      </c>
      <c r="F37" s="1">
        <v>0.7219101786613464</v>
      </c>
      <c r="G37" s="1">
        <v>0.7278640270233154</v>
      </c>
      <c r="H37" s="1">
        <v>0.4262295081967213</v>
      </c>
      <c r="I37" s="1">
        <v>0.11330049261083745</v>
      </c>
      <c r="J37" s="1">
        <v>0.1672131147540984</v>
      </c>
      <c r="K37" s="1">
        <v>0.2540983606557377</v>
      </c>
      <c r="L37" s="1">
        <v>0.8271334767341614</v>
      </c>
      <c r="M37" s="1">
        <v>0.8271334767341614</v>
      </c>
      <c r="N37" s="1">
        <v>0.8271334767341614</v>
      </c>
      <c r="O37" s="1">
        <v>0.8271334767341614</v>
      </c>
    </row>
    <row r="38" ht="15.75" customHeight="1"/>
    <row r="39" ht="15.75" customHeight="1">
      <c r="C39" s="2"/>
    </row>
    <row r="40" ht="15.75" customHeight="1"/>
    <row r="41" ht="15.75" customHeight="1"/>
    <row r="42" ht="15.75" customHeight="1"/>
    <row r="43" ht="15.75" customHeight="1">
      <c r="B43" s="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3.43"/>
    <col customWidth="1" min="5" max="5" width="21.86"/>
    <col customWidth="1" min="6" max="6" width="18.86"/>
    <col customWidth="1" min="7" max="7" width="15.57"/>
    <col customWidth="1" min="8" max="10" width="12.0"/>
    <col customWidth="1" min="11" max="11" width="13.0"/>
    <col customWidth="1" min="12" max="12" width="18.0"/>
    <col customWidth="1" min="13" max="13" width="21.71"/>
    <col customWidth="1" min="14" max="14" width="13.57"/>
    <col customWidth="1" min="15" max="15" width="17.29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47</v>
      </c>
      <c r="D2" s="1">
        <v>0.04927634657680021</v>
      </c>
      <c r="E2" s="1">
        <v>0.752001941204071</v>
      </c>
      <c r="F2" s="1">
        <v>0.7410843372344971</v>
      </c>
      <c r="G2" s="1">
        <v>0.7465032339096069</v>
      </c>
      <c r="H2" s="1">
        <v>0.414651002073255</v>
      </c>
      <c r="I2" s="1">
        <v>0.1217993079584775</v>
      </c>
      <c r="J2" s="1">
        <v>0.1741534208707671</v>
      </c>
      <c r="K2" s="1">
        <v>0.2543192812715964</v>
      </c>
      <c r="L2" s="1">
        <v>0.0</v>
      </c>
      <c r="M2" s="1">
        <v>0.0</v>
      </c>
      <c r="N2" s="1">
        <v>0.9999999403953552</v>
      </c>
      <c r="O2" s="1">
        <v>0.8271334767341614</v>
      </c>
    </row>
    <row r="3">
      <c r="A3" s="1" t="s">
        <v>15</v>
      </c>
      <c r="B3" s="1" t="s">
        <v>16</v>
      </c>
      <c r="C3" s="1" t="s">
        <v>48</v>
      </c>
      <c r="D3" s="1">
        <v>0.04279760114762449</v>
      </c>
      <c r="E3" s="1">
        <v>0.7547094821929932</v>
      </c>
      <c r="F3" s="1">
        <v>0.7522220611572266</v>
      </c>
      <c r="G3" s="1">
        <v>0.7534637451171875</v>
      </c>
      <c r="H3" s="1">
        <v>0.390591589451176</v>
      </c>
      <c r="I3" s="1">
        <v>0.11848679514632406</v>
      </c>
      <c r="J3" s="1">
        <v>0.16963649322879545</v>
      </c>
      <c r="K3" s="1">
        <v>0.23948681397006416</v>
      </c>
      <c r="L3" s="1">
        <v>0.7023138999938965</v>
      </c>
      <c r="M3" s="1">
        <v>0.6929934024810791</v>
      </c>
      <c r="N3" s="1">
        <v>0.7023138999938965</v>
      </c>
      <c r="O3" s="1">
        <v>0.6929934024810791</v>
      </c>
    </row>
    <row r="4">
      <c r="A4" s="1" t="s">
        <v>15</v>
      </c>
      <c r="B4" s="1" t="s">
        <v>16</v>
      </c>
      <c r="C4" s="1" t="s">
        <v>49</v>
      </c>
      <c r="D4" s="1">
        <v>0.034798505049129895</v>
      </c>
      <c r="E4" s="1">
        <v>0.7544933557510376</v>
      </c>
      <c r="F4" s="1">
        <v>0.7467182874679565</v>
      </c>
      <c r="G4" s="1">
        <v>0.7505857348442078</v>
      </c>
      <c r="H4" s="1">
        <v>0.3994232155731795</v>
      </c>
      <c r="I4" s="1">
        <v>0.12851985559566786</v>
      </c>
      <c r="J4" s="1">
        <v>0.16438356164383564</v>
      </c>
      <c r="K4" s="1">
        <v>0.23071377072819033</v>
      </c>
      <c r="L4" s="1">
        <v>0.0</v>
      </c>
      <c r="M4" s="1">
        <v>0.0</v>
      </c>
      <c r="N4" s="1">
        <v>0.9999999403953552</v>
      </c>
      <c r="O4" s="1">
        <v>0.8271334767341614</v>
      </c>
    </row>
    <row r="5">
      <c r="A5" s="1" t="s">
        <v>15</v>
      </c>
      <c r="B5" s="1" t="s">
        <v>16</v>
      </c>
      <c r="C5" s="1" t="s">
        <v>50</v>
      </c>
      <c r="D5" s="1">
        <v>0.015387035005944625</v>
      </c>
      <c r="E5" s="1">
        <v>0.6696248054504395</v>
      </c>
      <c r="F5" s="1">
        <v>0.6553096175193787</v>
      </c>
      <c r="G5" s="1">
        <v>0.6623898148536682</v>
      </c>
      <c r="H5" s="1">
        <v>0.3211446740858505</v>
      </c>
      <c r="I5" s="1">
        <v>0.10191082802547771</v>
      </c>
      <c r="J5" s="1">
        <v>0.15739268680445148</v>
      </c>
      <c r="K5" s="1">
        <v>0.1669316375198728</v>
      </c>
      <c r="L5" s="1">
        <v>0.0</v>
      </c>
      <c r="M5" s="1">
        <v>0.0</v>
      </c>
      <c r="N5" s="1">
        <v>0.8277580142021179</v>
      </c>
      <c r="O5" s="1">
        <v>0.8464414477348328</v>
      </c>
    </row>
    <row r="6">
      <c r="A6" s="1" t="s">
        <v>15</v>
      </c>
      <c r="B6" s="1" t="s">
        <v>16</v>
      </c>
      <c r="C6" s="1" t="s">
        <v>51</v>
      </c>
      <c r="D6" s="1">
        <v>0.015387035005944625</v>
      </c>
      <c r="E6" s="1">
        <v>0.6696248054504395</v>
      </c>
      <c r="F6" s="1">
        <v>0.6553096175193787</v>
      </c>
      <c r="G6" s="1">
        <v>0.6623898148536682</v>
      </c>
      <c r="H6" s="1">
        <v>0.3211446740858505</v>
      </c>
      <c r="I6" s="1">
        <v>0.10191082802547771</v>
      </c>
      <c r="J6" s="1">
        <v>0.15739268680445148</v>
      </c>
      <c r="K6" s="1">
        <v>0.1669316375198728</v>
      </c>
      <c r="L6" s="1">
        <v>0.0</v>
      </c>
      <c r="M6" s="1">
        <v>0.0</v>
      </c>
      <c r="N6" s="1">
        <v>0.8277580142021179</v>
      </c>
      <c r="O6" s="1">
        <v>0.8464414477348328</v>
      </c>
    </row>
    <row r="7">
      <c r="A7" s="1" t="s">
        <v>15</v>
      </c>
      <c r="B7" s="1" t="s">
        <v>16</v>
      </c>
      <c r="C7" s="1" t="s">
        <v>52</v>
      </c>
      <c r="D7" s="1">
        <v>0.02209940734060961</v>
      </c>
      <c r="E7" s="1">
        <v>0.7434166669845581</v>
      </c>
      <c r="F7" s="1">
        <v>0.7239258885383606</v>
      </c>
      <c r="G7" s="1">
        <v>0.7335417866706848</v>
      </c>
      <c r="H7" s="1">
        <v>0.35752482811306335</v>
      </c>
      <c r="I7" s="1">
        <v>0.10711553175210405</v>
      </c>
      <c r="J7" s="1">
        <v>0.16042780748663102</v>
      </c>
      <c r="K7" s="1">
        <v>0.21237585943468298</v>
      </c>
      <c r="L7" s="1">
        <v>0.0</v>
      </c>
      <c r="M7" s="1">
        <v>0.0</v>
      </c>
      <c r="N7" s="1">
        <v>0.8277580142021179</v>
      </c>
      <c r="O7" s="1">
        <v>0.8464414477348328</v>
      </c>
    </row>
    <row r="8">
      <c r="A8" s="1" t="s">
        <v>56</v>
      </c>
      <c r="B8" s="1" t="s">
        <v>16</v>
      </c>
      <c r="C8" s="1" t="s">
        <v>47</v>
      </c>
      <c r="D8" s="1">
        <v>0.020319523921863848</v>
      </c>
      <c r="E8" s="1">
        <v>0.7295830845832825</v>
      </c>
      <c r="F8" s="1">
        <v>0.7075185775756836</v>
      </c>
      <c r="G8" s="1">
        <v>0.7183814644813538</v>
      </c>
      <c r="H8" s="1">
        <v>0.37625178826895567</v>
      </c>
      <c r="I8" s="1">
        <v>0.08739255014326647</v>
      </c>
      <c r="J8" s="1">
        <v>0.17167381974248927</v>
      </c>
      <c r="K8" s="1">
        <v>0.22603719599427755</v>
      </c>
      <c r="L8" s="1">
        <v>0.0</v>
      </c>
      <c r="M8" s="1">
        <v>0.0</v>
      </c>
      <c r="N8" s="1">
        <v>0.9999999403953552</v>
      </c>
      <c r="O8" s="1">
        <v>0.5545380711555481</v>
      </c>
    </row>
    <row r="9">
      <c r="A9" s="1" t="s">
        <v>56</v>
      </c>
      <c r="B9" s="1" t="s">
        <v>16</v>
      </c>
      <c r="C9" s="1" t="s">
        <v>48</v>
      </c>
      <c r="D9" s="1">
        <v>0.032264429435974185</v>
      </c>
      <c r="E9" s="1">
        <v>0.7390693426132202</v>
      </c>
      <c r="F9" s="1">
        <v>0.716193675994873</v>
      </c>
      <c r="G9" s="1">
        <v>0.7274516820907593</v>
      </c>
      <c r="H9" s="1">
        <v>0.3648449039881832</v>
      </c>
      <c r="I9" s="1">
        <v>0.10502958579881658</v>
      </c>
      <c r="J9" s="1">
        <v>0.16100443131462333</v>
      </c>
      <c r="K9" s="1">
        <v>0.22895125553914328</v>
      </c>
      <c r="L9" s="1">
        <v>0.7023138999938965</v>
      </c>
      <c r="M9" s="1">
        <v>0.6429824233055115</v>
      </c>
      <c r="N9" s="1">
        <v>0.7023138999938965</v>
      </c>
      <c r="O9" s="1">
        <v>0.6429824233055115</v>
      </c>
    </row>
    <row r="10">
      <c r="A10" s="1" t="s">
        <v>56</v>
      </c>
      <c r="B10" s="1" t="s">
        <v>16</v>
      </c>
      <c r="C10" s="1" t="s">
        <v>49</v>
      </c>
      <c r="D10" s="1">
        <v>0.018762652749998415</v>
      </c>
      <c r="E10" s="1">
        <v>0.7348492741584778</v>
      </c>
      <c r="F10" s="1">
        <v>0.7147728800773621</v>
      </c>
      <c r="G10" s="1">
        <v>0.7246720194816589</v>
      </c>
      <c r="H10" s="1">
        <v>0.3721973094170404</v>
      </c>
      <c r="I10" s="1">
        <v>0.08532934131736526</v>
      </c>
      <c r="J10" s="1">
        <v>0.16442451420029897</v>
      </c>
      <c r="K10" s="1">
        <v>0.21225710014947682</v>
      </c>
      <c r="L10" s="1">
        <v>0.0</v>
      </c>
      <c r="M10" s="1">
        <v>0.0</v>
      </c>
      <c r="N10" s="1">
        <v>0.9999999403953552</v>
      </c>
      <c r="O10" s="1">
        <v>0.5545380711555481</v>
      </c>
    </row>
    <row r="11">
      <c r="A11" s="1" t="s">
        <v>56</v>
      </c>
      <c r="B11" s="1" t="s">
        <v>16</v>
      </c>
      <c r="C11" s="1" t="s">
        <v>50</v>
      </c>
      <c r="D11" s="1">
        <v>0.0</v>
      </c>
      <c r="E11" s="1">
        <v>0.6503878831863403</v>
      </c>
      <c r="F11" s="1">
        <v>0.6301312446594238</v>
      </c>
      <c r="G11" s="1">
        <v>0.6400993466377258</v>
      </c>
      <c r="H11" s="1">
        <v>0.30769230769230765</v>
      </c>
      <c r="I11" s="1">
        <v>0.07787903893951946</v>
      </c>
      <c r="J11" s="1">
        <v>0.15053763440860216</v>
      </c>
      <c r="K11" s="1">
        <v>0.2001654259718776</v>
      </c>
      <c r="L11" s="1">
        <v>0.0</v>
      </c>
      <c r="M11" s="1">
        <v>0.0</v>
      </c>
      <c r="N11" s="1">
        <v>0.8277580142021179</v>
      </c>
      <c r="O11" s="1">
        <v>0.5672008395195007</v>
      </c>
    </row>
    <row r="12">
      <c r="A12" s="1" t="s">
        <v>56</v>
      </c>
      <c r="B12" s="1" t="s">
        <v>16</v>
      </c>
      <c r="C12" s="1" t="s">
        <v>51</v>
      </c>
      <c r="D12" s="1">
        <v>0.0</v>
      </c>
      <c r="E12" s="1">
        <v>0.6503878831863403</v>
      </c>
      <c r="F12" s="1">
        <v>0.6301312446594238</v>
      </c>
      <c r="G12" s="1">
        <v>0.6400993466377258</v>
      </c>
      <c r="H12" s="1">
        <v>0.30769230769230765</v>
      </c>
      <c r="I12" s="1">
        <v>0.07787903893951946</v>
      </c>
      <c r="J12" s="1">
        <v>0.15053763440860216</v>
      </c>
      <c r="K12" s="1">
        <v>0.2001654259718776</v>
      </c>
      <c r="L12" s="1">
        <v>0.0</v>
      </c>
      <c r="M12" s="1">
        <v>0.0</v>
      </c>
      <c r="N12" s="1">
        <v>0.8277580142021179</v>
      </c>
      <c r="O12" s="1">
        <v>0.5672008395195007</v>
      </c>
    </row>
    <row r="13">
      <c r="A13" s="1" t="s">
        <v>56</v>
      </c>
      <c r="B13" s="1" t="s">
        <v>16</v>
      </c>
      <c r="C13" s="1" t="s">
        <v>52</v>
      </c>
      <c r="D13" s="1">
        <v>0.017480168171754976</v>
      </c>
      <c r="E13" s="1">
        <v>0.7443844676017761</v>
      </c>
      <c r="F13" s="1">
        <v>0.7032968997955322</v>
      </c>
      <c r="G13" s="1">
        <v>0.7232575416564941</v>
      </c>
      <c r="H13" s="1">
        <v>0.3380952380952381</v>
      </c>
      <c r="I13" s="1">
        <v>0.09220985691573927</v>
      </c>
      <c r="J13" s="1">
        <v>0.15555555555555559</v>
      </c>
      <c r="K13" s="1">
        <v>0.19999999999999998</v>
      </c>
      <c r="L13" s="1">
        <v>0.0</v>
      </c>
      <c r="M13" s="1">
        <v>0.0</v>
      </c>
      <c r="N13" s="1">
        <v>0.8277580142021179</v>
      </c>
      <c r="O13" s="1">
        <v>0.5672008395195007</v>
      </c>
    </row>
    <row r="14">
      <c r="A14" s="1" t="s">
        <v>57</v>
      </c>
      <c r="B14" s="1" t="s">
        <v>16</v>
      </c>
      <c r="C14" s="1" t="s">
        <v>47</v>
      </c>
      <c r="D14" s="1">
        <v>0.06080253054055</v>
      </c>
      <c r="E14" s="1">
        <v>0.7512557506561279</v>
      </c>
      <c r="F14" s="1">
        <v>0.7407039403915405</v>
      </c>
      <c r="G14" s="1">
        <v>0.7459425330162048</v>
      </c>
      <c r="H14" s="1">
        <v>0.41517857142857145</v>
      </c>
      <c r="I14" s="1">
        <v>0.10879284649776452</v>
      </c>
      <c r="J14" s="1">
        <v>0.19196428571428573</v>
      </c>
      <c r="K14" s="1">
        <v>0.255952380952381</v>
      </c>
      <c r="L14" s="1">
        <v>0.0</v>
      </c>
      <c r="M14" s="1">
        <v>0.0</v>
      </c>
      <c r="N14" s="1">
        <v>0.9999999403953552</v>
      </c>
      <c r="O14" s="1">
        <v>0.9999999403953552</v>
      </c>
    </row>
    <row r="15">
      <c r="A15" s="1" t="s">
        <v>57</v>
      </c>
      <c r="B15" s="1" t="s">
        <v>16</v>
      </c>
      <c r="C15" s="1" t="s">
        <v>48</v>
      </c>
      <c r="D15" s="1">
        <v>0.05447036742109632</v>
      </c>
      <c r="E15" s="1">
        <v>0.7528306245803833</v>
      </c>
      <c r="F15" s="1">
        <v>0.7436785697937012</v>
      </c>
      <c r="G15" s="1">
        <v>0.7482265830039978</v>
      </c>
      <c r="H15" s="1">
        <v>0.39692307692307693</v>
      </c>
      <c r="I15" s="1">
        <v>0.10939907550077041</v>
      </c>
      <c r="J15" s="1">
        <v>0.17538461538461536</v>
      </c>
      <c r="K15" s="1">
        <v>0.24461538461538462</v>
      </c>
      <c r="L15" s="1">
        <v>0.7023138999938965</v>
      </c>
      <c r="M15" s="1">
        <v>0.7023138999938965</v>
      </c>
      <c r="N15" s="1">
        <v>0.7023138999938965</v>
      </c>
      <c r="O15" s="1">
        <v>0.7023138999938965</v>
      </c>
    </row>
    <row r="16">
      <c r="A16" s="1" t="s">
        <v>57</v>
      </c>
      <c r="B16" s="1" t="s">
        <v>16</v>
      </c>
      <c r="C16" s="1" t="s">
        <v>49</v>
      </c>
      <c r="D16" s="1">
        <v>0.04261617895215075</v>
      </c>
      <c r="E16" s="1">
        <v>0.7582002282142639</v>
      </c>
      <c r="F16" s="1">
        <v>0.7454233169555664</v>
      </c>
      <c r="G16" s="1">
        <v>0.7517575025558472</v>
      </c>
      <c r="H16" s="1">
        <v>0.3956386292834891</v>
      </c>
      <c r="I16" s="1">
        <v>0.10452418096723869</v>
      </c>
      <c r="J16" s="1">
        <v>0.17757009345794392</v>
      </c>
      <c r="K16" s="1">
        <v>0.235202492211838</v>
      </c>
      <c r="L16" s="1">
        <v>0.0</v>
      </c>
      <c r="M16" s="1">
        <v>0.0</v>
      </c>
      <c r="N16" s="1">
        <v>0.9999999403953552</v>
      </c>
      <c r="O16" s="1">
        <v>0.9999999403953552</v>
      </c>
    </row>
    <row r="17">
      <c r="A17" s="1" t="s">
        <v>57</v>
      </c>
      <c r="B17" s="1" t="s">
        <v>16</v>
      </c>
      <c r="C17" s="1" t="s">
        <v>50</v>
      </c>
      <c r="D17" s="1">
        <v>0.0161658676772301</v>
      </c>
      <c r="E17" s="1">
        <v>0.6578599214553833</v>
      </c>
      <c r="F17" s="1">
        <v>0.6455150842666626</v>
      </c>
      <c r="G17" s="1">
        <v>0.6516290307044983</v>
      </c>
      <c r="H17" s="1">
        <v>0.3168831168831169</v>
      </c>
      <c r="I17" s="1">
        <v>0.07632263660017345</v>
      </c>
      <c r="J17" s="1">
        <v>0.16623376623376623</v>
      </c>
      <c r="K17" s="1">
        <v>0.17835497835497835</v>
      </c>
      <c r="L17" s="1">
        <v>0.0</v>
      </c>
      <c r="M17" s="1">
        <v>0.0</v>
      </c>
      <c r="N17" s="1">
        <v>0.8277580142021179</v>
      </c>
      <c r="O17" s="1">
        <v>0.8277580142021179</v>
      </c>
    </row>
    <row r="18">
      <c r="A18" s="1" t="s">
        <v>57</v>
      </c>
      <c r="B18" s="1" t="s">
        <v>16</v>
      </c>
      <c r="C18" s="1" t="s">
        <v>51</v>
      </c>
      <c r="D18" s="1">
        <v>0.0161658676772301</v>
      </c>
      <c r="E18" s="1">
        <v>0.6578599214553833</v>
      </c>
      <c r="F18" s="1">
        <v>0.6455150842666626</v>
      </c>
      <c r="G18" s="1">
        <v>0.6516290307044983</v>
      </c>
      <c r="H18" s="1">
        <v>0.3168831168831169</v>
      </c>
      <c r="I18" s="1">
        <v>0.07632263660017345</v>
      </c>
      <c r="J18" s="1">
        <v>0.16623376623376623</v>
      </c>
      <c r="K18" s="1">
        <v>0.17835497835497835</v>
      </c>
      <c r="L18" s="1">
        <v>0.0</v>
      </c>
      <c r="M18" s="1">
        <v>0.0</v>
      </c>
      <c r="N18" s="1">
        <v>0.8277580142021179</v>
      </c>
      <c r="O18" s="1">
        <v>0.8277580142021179</v>
      </c>
    </row>
    <row r="19">
      <c r="A19" s="1" t="s">
        <v>57</v>
      </c>
      <c r="B19" s="1" t="s">
        <v>16</v>
      </c>
      <c r="C19" s="1" t="s">
        <v>52</v>
      </c>
      <c r="D19" s="1">
        <v>0.02899039689424811</v>
      </c>
      <c r="E19" s="1">
        <v>0.7465027570724487</v>
      </c>
      <c r="F19" s="1">
        <v>0.7204043865203857</v>
      </c>
      <c r="G19" s="1">
        <v>0.7332214117050171</v>
      </c>
      <c r="H19" s="1">
        <v>0.35655058043117743</v>
      </c>
      <c r="I19" s="1">
        <v>0.10299003322259136</v>
      </c>
      <c r="J19" s="1">
        <v>0.1691542288557214</v>
      </c>
      <c r="K19" s="1">
        <v>0.24378109452736316</v>
      </c>
      <c r="L19" s="1">
        <v>0.0</v>
      </c>
      <c r="M19" s="1">
        <v>0.0</v>
      </c>
      <c r="N19" s="1">
        <v>0.8277580142021179</v>
      </c>
      <c r="O19" s="1">
        <v>0.8277580142021179</v>
      </c>
    </row>
    <row r="20">
      <c r="A20" s="1" t="s">
        <v>58</v>
      </c>
      <c r="B20" s="1" t="s">
        <v>16</v>
      </c>
      <c r="C20" s="1" t="s">
        <v>47</v>
      </c>
      <c r="D20" s="1">
        <v>0.051575873727971774</v>
      </c>
      <c r="E20" s="1">
        <v>0.7387041449546814</v>
      </c>
      <c r="F20" s="1">
        <v>0.7268922328948975</v>
      </c>
      <c r="G20" s="1">
        <v>0.7327505350112915</v>
      </c>
      <c r="H20" s="1">
        <v>0.4380639868744873</v>
      </c>
      <c r="I20" s="1">
        <v>0.10353327855382088</v>
      </c>
      <c r="J20" s="1">
        <v>0.17391304347826086</v>
      </c>
      <c r="K20" s="1">
        <v>0.25594749794913857</v>
      </c>
      <c r="L20" s="1">
        <v>0.0</v>
      </c>
      <c r="M20" s="1">
        <v>0.0</v>
      </c>
      <c r="N20" s="1">
        <v>0.9999999403953552</v>
      </c>
      <c r="O20" s="1">
        <v>0.9999999403953552</v>
      </c>
    </row>
    <row r="21" ht="15.75" customHeight="1">
      <c r="A21" s="1" t="s">
        <v>58</v>
      </c>
      <c r="B21" s="1" t="s">
        <v>16</v>
      </c>
      <c r="C21" s="1" t="s">
        <v>48</v>
      </c>
      <c r="D21" s="1">
        <v>0.05430985408982245</v>
      </c>
      <c r="E21" s="1">
        <v>0.7329349517822266</v>
      </c>
      <c r="F21" s="1">
        <v>0.727961003780365</v>
      </c>
      <c r="G21" s="1">
        <v>0.7304394841194153</v>
      </c>
      <c r="H21" s="1">
        <v>0.3948936170212766</v>
      </c>
      <c r="I21" s="1">
        <v>0.09718670076726342</v>
      </c>
      <c r="J21" s="1">
        <v>0.17021276595744683</v>
      </c>
      <c r="K21" s="1">
        <v>0.25531914893617025</v>
      </c>
      <c r="L21" s="1">
        <v>0.7023138999938965</v>
      </c>
      <c r="M21" s="1">
        <v>0.7023138999938965</v>
      </c>
      <c r="N21" s="1">
        <v>0.7023138999938965</v>
      </c>
      <c r="O21" s="1">
        <v>0.7023138999938965</v>
      </c>
    </row>
    <row r="22" ht="15.75" customHeight="1">
      <c r="A22" s="1" t="s">
        <v>58</v>
      </c>
      <c r="B22" s="1" t="s">
        <v>16</v>
      </c>
      <c r="C22" s="1" t="s">
        <v>49</v>
      </c>
      <c r="D22" s="1">
        <v>0.038824674078436004</v>
      </c>
      <c r="E22" s="1">
        <v>0.7330286502838135</v>
      </c>
      <c r="F22" s="1">
        <v>0.7313975095748901</v>
      </c>
      <c r="G22" s="1">
        <v>0.7322121262550354</v>
      </c>
      <c r="H22" s="1">
        <v>0.40034512510785164</v>
      </c>
      <c r="I22" s="1">
        <v>0.09334485738980121</v>
      </c>
      <c r="J22" s="1">
        <v>0.16911130284728215</v>
      </c>
      <c r="K22" s="1">
        <v>0.2312338222605695</v>
      </c>
      <c r="L22" s="1">
        <v>0.0</v>
      </c>
      <c r="M22" s="1">
        <v>0.0</v>
      </c>
      <c r="N22" s="1">
        <v>0.9999999403953552</v>
      </c>
      <c r="O22" s="1">
        <v>0.9999999403953552</v>
      </c>
    </row>
    <row r="23" ht="15.75" customHeight="1">
      <c r="A23" s="1" t="s">
        <v>58</v>
      </c>
      <c r="B23" s="1" t="s">
        <v>16</v>
      </c>
      <c r="C23" s="1" t="s">
        <v>50</v>
      </c>
      <c r="D23" s="1">
        <v>0.019183650844715044</v>
      </c>
      <c r="E23" s="1">
        <v>0.6626288890838623</v>
      </c>
      <c r="F23" s="1">
        <v>0.649599552154541</v>
      </c>
      <c r="G23" s="1">
        <v>0.6560495495796204</v>
      </c>
      <c r="H23" s="1">
        <v>0.341747572815534</v>
      </c>
      <c r="I23" s="1">
        <v>0.09727626459143969</v>
      </c>
      <c r="J23" s="1">
        <v>0.170873786407767</v>
      </c>
      <c r="K23" s="1">
        <v>0.18834951456310678</v>
      </c>
      <c r="L23" s="1">
        <v>0.0</v>
      </c>
      <c r="M23" s="1">
        <v>0.0</v>
      </c>
      <c r="N23" s="1">
        <v>0.8277580142021179</v>
      </c>
      <c r="O23" s="1">
        <v>0.8277580142021179</v>
      </c>
    </row>
    <row r="24" ht="15.75" customHeight="1">
      <c r="A24" s="1" t="s">
        <v>58</v>
      </c>
      <c r="B24" s="1" t="s">
        <v>16</v>
      </c>
      <c r="C24" s="1" t="s">
        <v>51</v>
      </c>
      <c r="D24" s="1">
        <v>0.019183650844715044</v>
      </c>
      <c r="E24" s="1">
        <v>0.6626288890838623</v>
      </c>
      <c r="F24" s="1">
        <v>0.649599552154541</v>
      </c>
      <c r="G24" s="1">
        <v>0.6560495495796204</v>
      </c>
      <c r="H24" s="1">
        <v>0.341747572815534</v>
      </c>
      <c r="I24" s="1">
        <v>0.09727626459143969</v>
      </c>
      <c r="J24" s="1">
        <v>0.170873786407767</v>
      </c>
      <c r="K24" s="1">
        <v>0.18834951456310678</v>
      </c>
      <c r="L24" s="1">
        <v>0.0</v>
      </c>
      <c r="M24" s="1">
        <v>0.0</v>
      </c>
      <c r="N24" s="1">
        <v>0.8277580142021179</v>
      </c>
      <c r="O24" s="1">
        <v>0.8277580142021179</v>
      </c>
    </row>
    <row r="25" ht="15.75" customHeight="1">
      <c r="A25" s="1" t="s">
        <v>58</v>
      </c>
      <c r="B25" s="1" t="s">
        <v>16</v>
      </c>
      <c r="C25" s="1" t="s">
        <v>52</v>
      </c>
      <c r="D25" s="1">
        <v>0.01838355493555009</v>
      </c>
      <c r="E25" s="1">
        <v>0.7364626526832581</v>
      </c>
      <c r="F25" s="1">
        <v>0.7173216938972473</v>
      </c>
      <c r="G25" s="1">
        <v>0.7267661094665527</v>
      </c>
      <c r="H25" s="1">
        <v>0.3774283071230342</v>
      </c>
      <c r="I25" s="1">
        <v>0.09823911028730306</v>
      </c>
      <c r="J25" s="1">
        <v>0.1646623496762257</v>
      </c>
      <c r="K25" s="1">
        <v>0.21646623496762257</v>
      </c>
      <c r="L25" s="1">
        <v>0.0</v>
      </c>
      <c r="M25" s="1">
        <v>0.0</v>
      </c>
      <c r="N25" s="1">
        <v>0.8277580142021179</v>
      </c>
      <c r="O25" s="1">
        <v>0.8277580142021179</v>
      </c>
    </row>
    <row r="26" ht="15.75" customHeight="1">
      <c r="A26" s="1" t="s">
        <v>59</v>
      </c>
      <c r="B26" s="1" t="s">
        <v>16</v>
      </c>
      <c r="C26" s="1" t="s">
        <v>47</v>
      </c>
      <c r="D26" s="1">
        <v>0.05948774063831823</v>
      </c>
      <c r="E26" s="1">
        <v>0.749173641204834</v>
      </c>
      <c r="F26" s="1">
        <v>0.7357031106948853</v>
      </c>
      <c r="G26" s="1">
        <v>0.7423772811889648</v>
      </c>
      <c r="H26" s="1">
        <v>0.4372331340734415</v>
      </c>
      <c r="I26" s="1">
        <v>0.10265183917878529</v>
      </c>
      <c r="J26" s="1">
        <v>0.1861656703672075</v>
      </c>
      <c r="K26" s="1">
        <v>0.26131511528608026</v>
      </c>
      <c r="L26" s="1">
        <v>0.0</v>
      </c>
      <c r="M26" s="1">
        <v>0.0</v>
      </c>
      <c r="N26" s="1">
        <v>0.9999999403953552</v>
      </c>
      <c r="O26" s="1">
        <v>0.9999999403953552</v>
      </c>
    </row>
    <row r="27" ht="15.75" customHeight="1">
      <c r="A27" s="1" t="s">
        <v>59</v>
      </c>
      <c r="B27" s="1" t="s">
        <v>16</v>
      </c>
      <c r="C27" s="1" t="s">
        <v>48</v>
      </c>
      <c r="D27" s="1">
        <v>0.0635827629706633</v>
      </c>
      <c r="E27" s="1">
        <v>0.735614538192749</v>
      </c>
      <c r="F27" s="1">
        <v>0.7281814813613892</v>
      </c>
      <c r="G27" s="1">
        <v>0.7318791151046753</v>
      </c>
      <c r="H27" s="1">
        <v>0.40993788819875776</v>
      </c>
      <c r="I27" s="1">
        <v>0.11022222222222222</v>
      </c>
      <c r="J27" s="1">
        <v>0.1739130434782609</v>
      </c>
      <c r="K27" s="1">
        <v>0.2573203194321207</v>
      </c>
      <c r="L27" s="1">
        <v>0.7023138999938965</v>
      </c>
      <c r="M27" s="1">
        <v>0.7023138999938965</v>
      </c>
      <c r="N27" s="1">
        <v>0.7023138999938965</v>
      </c>
      <c r="O27" s="1">
        <v>0.7023138999938965</v>
      </c>
    </row>
    <row r="28" ht="15.75" customHeight="1">
      <c r="A28" s="1" t="s">
        <v>59</v>
      </c>
      <c r="B28" s="1" t="s">
        <v>16</v>
      </c>
      <c r="C28" s="1" t="s">
        <v>49</v>
      </c>
      <c r="D28" s="1">
        <v>0.040839188435604974</v>
      </c>
      <c r="E28" s="1">
        <v>0.7379607558250427</v>
      </c>
      <c r="F28" s="1">
        <v>0.7248634099960327</v>
      </c>
      <c r="G28" s="1">
        <v>0.7313534617424011</v>
      </c>
      <c r="H28" s="1">
        <v>0.39243924392439244</v>
      </c>
      <c r="I28" s="1">
        <v>0.07935076645626692</v>
      </c>
      <c r="J28" s="1">
        <v>0.16741674167416742</v>
      </c>
      <c r="K28" s="1">
        <v>0.21422142214221424</v>
      </c>
      <c r="L28" s="1">
        <v>0.0</v>
      </c>
      <c r="M28" s="1">
        <v>0.0</v>
      </c>
      <c r="N28" s="1">
        <v>0.9999999403953552</v>
      </c>
      <c r="O28" s="1">
        <v>0.9999999403953552</v>
      </c>
    </row>
    <row r="29" ht="15.75" customHeight="1">
      <c r="A29" s="1" t="s">
        <v>59</v>
      </c>
      <c r="B29" s="1" t="s">
        <v>16</v>
      </c>
      <c r="C29" s="1" t="s">
        <v>50</v>
      </c>
      <c r="D29" s="1">
        <v>0.0</v>
      </c>
      <c r="E29" s="1">
        <v>0.660815954208374</v>
      </c>
      <c r="F29" s="1">
        <v>0.6451398134231567</v>
      </c>
      <c r="G29" s="1">
        <v>0.652883768081665</v>
      </c>
      <c r="H29" s="1">
        <v>0.3564154786150713</v>
      </c>
      <c r="I29" s="1">
        <v>0.0836734693877551</v>
      </c>
      <c r="J29" s="1">
        <v>0.18329938900203668</v>
      </c>
      <c r="K29" s="1">
        <v>0.1934826883910387</v>
      </c>
      <c r="L29" s="1">
        <v>0.0</v>
      </c>
      <c r="M29" s="1">
        <v>0.0</v>
      </c>
      <c r="N29" s="1">
        <v>0.8277580142021179</v>
      </c>
      <c r="O29" s="1">
        <v>0.8277580142021179</v>
      </c>
    </row>
    <row r="30" ht="15.75" customHeight="1">
      <c r="A30" s="1" t="s">
        <v>59</v>
      </c>
      <c r="B30" s="1" t="s">
        <v>16</v>
      </c>
      <c r="C30" s="1" t="s">
        <v>51</v>
      </c>
      <c r="D30" s="1">
        <v>0.0</v>
      </c>
      <c r="E30" s="1">
        <v>0.660815954208374</v>
      </c>
      <c r="F30" s="1">
        <v>0.6451398134231567</v>
      </c>
      <c r="G30" s="1">
        <v>0.652883768081665</v>
      </c>
      <c r="H30" s="1">
        <v>0.3564154786150713</v>
      </c>
      <c r="I30" s="1">
        <v>0.0836734693877551</v>
      </c>
      <c r="J30" s="1">
        <v>0.18329938900203668</v>
      </c>
      <c r="K30" s="1">
        <v>0.1934826883910387</v>
      </c>
      <c r="L30" s="1">
        <v>0.0</v>
      </c>
      <c r="M30" s="1">
        <v>0.0</v>
      </c>
      <c r="N30" s="1">
        <v>0.8277580142021179</v>
      </c>
      <c r="O30" s="1">
        <v>0.8277580142021179</v>
      </c>
    </row>
    <row r="31" ht="15.75" customHeight="1">
      <c r="A31" s="1" t="s">
        <v>59</v>
      </c>
      <c r="B31" s="1" t="s">
        <v>16</v>
      </c>
      <c r="C31" s="1" t="s">
        <v>52</v>
      </c>
      <c r="D31" s="1">
        <v>0.027245269108118298</v>
      </c>
      <c r="E31" s="1">
        <v>0.7449666857719421</v>
      </c>
      <c r="F31" s="1">
        <v>0.7274115085601807</v>
      </c>
      <c r="G31" s="1">
        <v>0.7360844612121582</v>
      </c>
      <c r="H31" s="1">
        <v>0.4143272023233301</v>
      </c>
      <c r="I31" s="1">
        <v>0.1066925315227934</v>
      </c>
      <c r="J31" s="1">
        <v>0.17618586640851888</v>
      </c>
      <c r="K31" s="1">
        <v>0.2362052274927396</v>
      </c>
      <c r="L31" s="1">
        <v>0.0</v>
      </c>
      <c r="M31" s="1">
        <v>0.0</v>
      </c>
      <c r="N31" s="1">
        <v>0.8277580142021179</v>
      </c>
      <c r="O31" s="1">
        <v>0.8277580142021179</v>
      </c>
    </row>
    <row r="32" ht="15.75" customHeight="1">
      <c r="A32" s="1" t="s">
        <v>60</v>
      </c>
      <c r="B32" s="1" t="s">
        <v>16</v>
      </c>
      <c r="C32" s="1" t="s">
        <v>47</v>
      </c>
      <c r="D32" s="1">
        <v>0.04075326844263426</v>
      </c>
      <c r="E32" s="1">
        <v>0.7376173734664917</v>
      </c>
      <c r="F32" s="1">
        <v>0.7148326635360718</v>
      </c>
      <c r="G32" s="1">
        <v>0.7260463237762451</v>
      </c>
      <c r="H32" s="1">
        <v>0.446031746031746</v>
      </c>
      <c r="I32" s="1">
        <v>0.10492845786963434</v>
      </c>
      <c r="J32" s="1">
        <v>0.17936507936507937</v>
      </c>
      <c r="K32" s="1">
        <v>0.26825396825396824</v>
      </c>
      <c r="L32" s="1">
        <v>0.0</v>
      </c>
      <c r="M32" s="1">
        <v>0.0</v>
      </c>
      <c r="N32" s="1">
        <v>0.9999999403953552</v>
      </c>
      <c r="O32" s="1">
        <v>0.9999999403953552</v>
      </c>
    </row>
    <row r="33" ht="15.75" customHeight="1">
      <c r="A33" s="1" t="s">
        <v>60</v>
      </c>
      <c r="B33" s="1" t="s">
        <v>16</v>
      </c>
      <c r="C33" s="1" t="s">
        <v>48</v>
      </c>
      <c r="D33" s="1">
        <v>0.05691796562637647</v>
      </c>
      <c r="E33" s="1">
        <v>0.7429253458976746</v>
      </c>
      <c r="F33" s="1">
        <v>0.7201639413833618</v>
      </c>
      <c r="G33" s="1">
        <v>0.7313675880432129</v>
      </c>
      <c r="H33" s="1">
        <v>0.444078947368421</v>
      </c>
      <c r="I33" s="1">
        <v>0.1301482701812191</v>
      </c>
      <c r="J33" s="1">
        <v>0.18421052631578946</v>
      </c>
      <c r="K33" s="1">
        <v>0.2631578947368421</v>
      </c>
      <c r="L33" s="1">
        <v>0.7023138999938965</v>
      </c>
      <c r="M33" s="1">
        <v>0.7023138999938965</v>
      </c>
      <c r="N33" s="1">
        <v>0.7023138999938965</v>
      </c>
      <c r="O33" s="1">
        <v>0.7023138999938965</v>
      </c>
    </row>
    <row r="34" ht="15.75" customHeight="1">
      <c r="A34" s="1" t="s">
        <v>60</v>
      </c>
      <c r="B34" s="1" t="s">
        <v>16</v>
      </c>
      <c r="C34" s="1" t="s">
        <v>49</v>
      </c>
      <c r="D34" s="1">
        <v>0.04204422280549006</v>
      </c>
      <c r="E34" s="1">
        <v>0.7448868751525879</v>
      </c>
      <c r="F34" s="1">
        <v>0.7149165272712708</v>
      </c>
      <c r="G34" s="1">
        <v>0.7295940518379211</v>
      </c>
      <c r="H34" s="1">
        <v>0.42500000000000004</v>
      </c>
      <c r="I34" s="1">
        <v>0.1001669449081803</v>
      </c>
      <c r="J34" s="1">
        <v>0.17500000000000002</v>
      </c>
      <c r="K34" s="1">
        <v>0.22999999999999995</v>
      </c>
      <c r="L34" s="1">
        <v>0.0</v>
      </c>
      <c r="M34" s="1">
        <v>0.0</v>
      </c>
      <c r="N34" s="1">
        <v>0.9999999403953552</v>
      </c>
      <c r="O34" s="1">
        <v>0.9999999403953552</v>
      </c>
    </row>
    <row r="35" ht="15.75" customHeight="1">
      <c r="A35" s="1" t="s">
        <v>60</v>
      </c>
      <c r="B35" s="1" t="s">
        <v>16</v>
      </c>
      <c r="C35" s="1" t="s">
        <v>50</v>
      </c>
      <c r="D35" s="1">
        <v>0.0287270340476645</v>
      </c>
      <c r="E35" s="1">
        <v>0.6616009473800659</v>
      </c>
      <c r="F35" s="1">
        <v>0.6369695067405701</v>
      </c>
      <c r="G35" s="1">
        <v>0.6490516662597656</v>
      </c>
      <c r="H35" s="1">
        <v>0.3865546218487395</v>
      </c>
      <c r="I35" s="1">
        <v>0.1253507951356408</v>
      </c>
      <c r="J35" s="1">
        <v>0.18300653594771243</v>
      </c>
      <c r="K35" s="1">
        <v>0.20728291316526612</v>
      </c>
      <c r="L35" s="1">
        <v>0.0</v>
      </c>
      <c r="M35" s="1">
        <v>0.0</v>
      </c>
      <c r="N35" s="1">
        <v>0.8277580142021179</v>
      </c>
      <c r="O35" s="1">
        <v>0.8277580142021179</v>
      </c>
    </row>
    <row r="36" ht="15.75" customHeight="1">
      <c r="A36" s="1" t="s">
        <v>60</v>
      </c>
      <c r="B36" s="1" t="s">
        <v>16</v>
      </c>
      <c r="C36" s="1" t="s">
        <v>51</v>
      </c>
      <c r="D36" s="1">
        <v>0.0287270340476645</v>
      </c>
      <c r="E36" s="1">
        <v>0.6616009473800659</v>
      </c>
      <c r="F36" s="1">
        <v>0.6369695067405701</v>
      </c>
      <c r="G36" s="1">
        <v>0.6490516662597656</v>
      </c>
      <c r="H36" s="1">
        <v>0.3865546218487395</v>
      </c>
      <c r="I36" s="1">
        <v>0.1253507951356408</v>
      </c>
      <c r="J36" s="1">
        <v>0.18300653594771243</v>
      </c>
      <c r="K36" s="1">
        <v>0.20728291316526612</v>
      </c>
      <c r="L36" s="1">
        <v>0.0</v>
      </c>
      <c r="M36" s="1">
        <v>0.0</v>
      </c>
      <c r="N36" s="1">
        <v>0.8277580142021179</v>
      </c>
      <c r="O36" s="1">
        <v>0.8277580142021179</v>
      </c>
    </row>
    <row r="37" ht="15.75" customHeight="1">
      <c r="A37" s="1" t="s">
        <v>60</v>
      </c>
      <c r="B37" s="1" t="s">
        <v>16</v>
      </c>
      <c r="C37" s="1" t="s">
        <v>52</v>
      </c>
      <c r="D37" s="1">
        <v>0.03338654572049209</v>
      </c>
      <c r="E37" s="1">
        <v>0.7460365295410156</v>
      </c>
      <c r="F37" s="1">
        <v>0.7021343111991882</v>
      </c>
      <c r="G37" s="1">
        <v>0.7234199047088623</v>
      </c>
      <c r="H37" s="1">
        <v>0.41354723707664887</v>
      </c>
      <c r="I37" s="1">
        <v>0.14642857142857144</v>
      </c>
      <c r="J37" s="1">
        <v>0.19073083778966132</v>
      </c>
      <c r="K37" s="1">
        <v>0.2549019607843137</v>
      </c>
      <c r="L37" s="1">
        <v>0.0</v>
      </c>
      <c r="M37" s="1">
        <v>0.0</v>
      </c>
      <c r="N37" s="1">
        <v>0.8277580142021179</v>
      </c>
      <c r="O37" s="1">
        <v>0.8277580142021179</v>
      </c>
    </row>
    <row r="38" ht="15.75" customHeight="1"/>
    <row r="39" ht="15.75" customHeight="1">
      <c r="C39" s="2"/>
    </row>
    <row r="40" ht="15.75" customHeight="1"/>
    <row r="41" ht="15.75" customHeight="1"/>
    <row r="42" ht="15.75" customHeight="1"/>
    <row r="43" ht="15.75" customHeight="1">
      <c r="B43" s="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3.43"/>
    <col customWidth="1" min="5" max="5" width="21.86"/>
    <col customWidth="1" min="6" max="6" width="18.86"/>
    <col customWidth="1" min="7" max="7" width="15.57"/>
    <col customWidth="1" min="8" max="10" width="12.0"/>
    <col customWidth="1" min="11" max="11" width="13.0"/>
    <col customWidth="1" min="12" max="12" width="18.0"/>
    <col customWidth="1" min="13" max="13" width="21.71"/>
    <col customWidth="1" min="14" max="14" width="13.57"/>
    <col customWidth="1" min="15" max="15" width="17.29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53</v>
      </c>
      <c r="D2" s="1">
        <v>0.04692241859547186</v>
      </c>
      <c r="E2" s="1">
        <v>0.7507194876670837</v>
      </c>
      <c r="F2" s="1">
        <v>0.7514522075653076</v>
      </c>
      <c r="G2" s="1">
        <v>0.751085638999939</v>
      </c>
      <c r="H2" s="1">
        <v>0.4836775483011326</v>
      </c>
      <c r="I2" s="1">
        <v>0.15743829219479655</v>
      </c>
      <c r="J2" s="1">
        <v>0.19187208527648233</v>
      </c>
      <c r="K2" s="1">
        <v>0.2638241172551632</v>
      </c>
      <c r="L2" s="1">
        <v>0.0</v>
      </c>
      <c r="M2" s="1">
        <v>0.0</v>
      </c>
      <c r="N2" s="1">
        <v>0.9999999403953552</v>
      </c>
      <c r="O2" s="1">
        <v>0.8271334767341614</v>
      </c>
    </row>
    <row r="3">
      <c r="A3" s="1" t="s">
        <v>15</v>
      </c>
      <c r="B3" s="1" t="s">
        <v>16</v>
      </c>
      <c r="C3" s="1" t="s">
        <v>54</v>
      </c>
      <c r="D3" s="1">
        <v>0.07871670134589397</v>
      </c>
      <c r="E3" s="1">
        <v>0.7515832185745239</v>
      </c>
      <c r="F3" s="1">
        <v>0.7525502443313599</v>
      </c>
      <c r="G3" s="1">
        <v>0.752066433429718</v>
      </c>
      <c r="H3" s="1">
        <v>0.5248651887357699</v>
      </c>
      <c r="I3" s="1">
        <v>0.16916616676664667</v>
      </c>
      <c r="J3" s="1">
        <v>0.18454164170161774</v>
      </c>
      <c r="K3" s="1">
        <v>0.2660275614140204</v>
      </c>
      <c r="L3" s="1">
        <v>0.0</v>
      </c>
      <c r="M3" s="1">
        <v>0.0</v>
      </c>
      <c r="N3" s="1">
        <v>0.9999999403953552</v>
      </c>
      <c r="O3" s="1">
        <v>0.8271334767341614</v>
      </c>
    </row>
    <row r="4">
      <c r="A4" s="1" t="s">
        <v>15</v>
      </c>
      <c r="B4" s="1" t="s">
        <v>16</v>
      </c>
      <c r="C4" s="1" t="s">
        <v>55</v>
      </c>
      <c r="D4" s="1">
        <v>0.07654756714766117</v>
      </c>
      <c r="E4" s="1">
        <v>0.7549675703048706</v>
      </c>
      <c r="F4" s="1">
        <v>0.747463583946228</v>
      </c>
      <c r="G4" s="1">
        <v>0.7511968612670898</v>
      </c>
      <c r="H4" s="1">
        <v>0.5019011406844106</v>
      </c>
      <c r="I4" s="1">
        <v>0.16243654822335027</v>
      </c>
      <c r="J4" s="1">
        <v>0.19011406844106463</v>
      </c>
      <c r="K4" s="1">
        <v>0.2801013941698352</v>
      </c>
      <c r="L4" s="1">
        <v>0.0</v>
      </c>
      <c r="M4" s="1">
        <v>0.0</v>
      </c>
      <c r="N4" s="1">
        <v>0.9999999403953552</v>
      </c>
      <c r="O4" s="1">
        <v>0.8271334767341614</v>
      </c>
    </row>
    <row r="5">
      <c r="A5" s="1" t="s">
        <v>56</v>
      </c>
      <c r="B5" s="1" t="s">
        <v>16</v>
      </c>
      <c r="C5" s="1" t="s">
        <v>53</v>
      </c>
      <c r="D5" s="1">
        <v>0.03526418482198639</v>
      </c>
      <c r="E5" s="1">
        <v>0.7433568835258484</v>
      </c>
      <c r="F5" s="1">
        <v>0.7222908139228821</v>
      </c>
      <c r="G5" s="1">
        <v>0.7326724529266357</v>
      </c>
      <c r="H5" s="1">
        <v>0.44490358126721763</v>
      </c>
      <c r="I5" s="1">
        <v>0.12551724137931033</v>
      </c>
      <c r="J5" s="1">
        <v>0.18181818181818182</v>
      </c>
      <c r="K5" s="1">
        <v>0.24517906336088155</v>
      </c>
      <c r="L5" s="1">
        <v>0.0</v>
      </c>
      <c r="M5" s="1">
        <v>0.0</v>
      </c>
      <c r="N5" s="1">
        <v>0.9999999403953552</v>
      </c>
      <c r="O5" s="1">
        <v>0.5545380711555481</v>
      </c>
    </row>
    <row r="6">
      <c r="A6" s="1" t="s">
        <v>56</v>
      </c>
      <c r="B6" s="1" t="s">
        <v>16</v>
      </c>
      <c r="C6" s="1" t="s">
        <v>54</v>
      </c>
      <c r="D6" s="1">
        <v>0.03011438082111747</v>
      </c>
      <c r="E6" s="1">
        <v>0.7301548719406128</v>
      </c>
      <c r="F6" s="1">
        <v>0.7119228839874268</v>
      </c>
      <c r="G6" s="1">
        <v>0.7209236025810242</v>
      </c>
      <c r="H6" s="1">
        <v>0.48518518518518516</v>
      </c>
      <c r="I6" s="1">
        <v>0.12484548825710753</v>
      </c>
      <c r="J6" s="1">
        <v>0.18641975308641978</v>
      </c>
      <c r="K6" s="1">
        <v>0.2728395061728395</v>
      </c>
      <c r="L6" s="1">
        <v>0.0</v>
      </c>
      <c r="M6" s="1">
        <v>0.0</v>
      </c>
      <c r="N6" s="1">
        <v>0.9999999403953552</v>
      </c>
      <c r="O6" s="1">
        <v>0.5545380711555481</v>
      </c>
    </row>
    <row r="7">
      <c r="A7" s="1" t="s">
        <v>56</v>
      </c>
      <c r="B7" s="1" t="s">
        <v>16</v>
      </c>
      <c r="C7" s="1" t="s">
        <v>55</v>
      </c>
      <c r="D7" s="1">
        <v>0.05430975384077286</v>
      </c>
      <c r="E7" s="1">
        <v>0.738656759262085</v>
      </c>
      <c r="F7" s="1">
        <v>0.7175053954124451</v>
      </c>
      <c r="G7" s="1">
        <v>0.7279273867607117</v>
      </c>
      <c r="H7" s="1">
        <v>0.47874427730542835</v>
      </c>
      <c r="I7" s="1">
        <v>0.13097576948264572</v>
      </c>
      <c r="J7" s="1">
        <v>0.19620667102681488</v>
      </c>
      <c r="K7" s="1">
        <v>0.27468933943754087</v>
      </c>
      <c r="L7" s="1">
        <v>0.0</v>
      </c>
      <c r="M7" s="1">
        <v>0.0</v>
      </c>
      <c r="N7" s="1">
        <v>0.9999999403953552</v>
      </c>
      <c r="O7" s="1">
        <v>0.5545380711555481</v>
      </c>
    </row>
    <row r="8">
      <c r="A8" s="1" t="s">
        <v>57</v>
      </c>
      <c r="B8" s="1" t="s">
        <v>16</v>
      </c>
      <c r="C8" s="1" t="s">
        <v>53</v>
      </c>
      <c r="D8" s="1">
        <v>0.06366114809806997</v>
      </c>
      <c r="E8" s="1">
        <v>0.7653224468231201</v>
      </c>
      <c r="F8" s="1">
        <v>0.7567667365074158</v>
      </c>
      <c r="G8" s="1">
        <v>0.7610205411911011</v>
      </c>
      <c r="H8" s="1">
        <v>0.49785407725321895</v>
      </c>
      <c r="I8" s="1">
        <v>0.15472779369627504</v>
      </c>
      <c r="J8" s="1">
        <v>0.1959942775393419</v>
      </c>
      <c r="K8" s="1">
        <v>0.28469241773962806</v>
      </c>
      <c r="L8" s="1">
        <v>0.0</v>
      </c>
      <c r="M8" s="1">
        <v>0.0</v>
      </c>
      <c r="N8" s="1">
        <v>0.9999999403953552</v>
      </c>
      <c r="O8" s="1">
        <v>0.9999999403953552</v>
      </c>
    </row>
    <row r="9">
      <c r="A9" s="1" t="s">
        <v>57</v>
      </c>
      <c r="B9" s="1" t="s">
        <v>16</v>
      </c>
      <c r="C9" s="1" t="s">
        <v>54</v>
      </c>
      <c r="D9" s="1">
        <v>0.09862419683518693</v>
      </c>
      <c r="E9" s="1">
        <v>0.7556792497634888</v>
      </c>
      <c r="F9" s="1">
        <v>0.7525119185447693</v>
      </c>
      <c r="G9" s="1">
        <v>0.754092276096344</v>
      </c>
      <c r="H9" s="1">
        <v>0.528735632183908</v>
      </c>
      <c r="I9" s="1">
        <v>0.159846547314578</v>
      </c>
      <c r="J9" s="1">
        <v>0.19795657726692212</v>
      </c>
      <c r="K9" s="1">
        <v>0.2937420178799489</v>
      </c>
      <c r="L9" s="1">
        <v>0.0</v>
      </c>
      <c r="M9" s="1">
        <v>0.0</v>
      </c>
      <c r="N9" s="1">
        <v>0.9999999403953552</v>
      </c>
      <c r="O9" s="1">
        <v>0.9999999403953552</v>
      </c>
    </row>
    <row r="10">
      <c r="A10" s="1" t="s">
        <v>57</v>
      </c>
      <c r="B10" s="1" t="s">
        <v>16</v>
      </c>
      <c r="C10" s="1" t="s">
        <v>55</v>
      </c>
      <c r="D10" s="1">
        <v>0.0858054420657966</v>
      </c>
      <c r="E10" s="1">
        <v>0.7639603614807129</v>
      </c>
      <c r="F10" s="1">
        <v>0.7532212734222412</v>
      </c>
      <c r="G10" s="1">
        <v>0.7585527896881104</v>
      </c>
      <c r="H10" s="1">
        <v>0.5206779661016949</v>
      </c>
      <c r="I10" s="1">
        <v>0.16429056347589954</v>
      </c>
      <c r="J10" s="1">
        <v>0.21152542372881358</v>
      </c>
      <c r="K10" s="1">
        <v>0.2806779661016949</v>
      </c>
      <c r="L10" s="1">
        <v>0.0</v>
      </c>
      <c r="M10" s="1">
        <v>0.0</v>
      </c>
      <c r="N10" s="1">
        <v>0.9999999403953552</v>
      </c>
      <c r="O10" s="1">
        <v>0.9999999403953552</v>
      </c>
    </row>
    <row r="11">
      <c r="A11" s="1" t="s">
        <v>58</v>
      </c>
      <c r="B11" s="1" t="s">
        <v>16</v>
      </c>
      <c r="C11" s="1" t="s">
        <v>53</v>
      </c>
      <c r="D11" s="1">
        <v>0.045756942315882315</v>
      </c>
      <c r="E11" s="1">
        <v>0.7309014797210693</v>
      </c>
      <c r="F11" s="1">
        <v>0.728338360786438</v>
      </c>
      <c r="G11" s="1">
        <v>0.7296176552772522</v>
      </c>
      <c r="H11" s="1">
        <v>0.46818538884524746</v>
      </c>
      <c r="I11" s="1">
        <v>0.12903225806451613</v>
      </c>
      <c r="J11" s="1">
        <v>0.18538884524744698</v>
      </c>
      <c r="K11" s="1">
        <v>0.24037706205813042</v>
      </c>
      <c r="L11" s="1">
        <v>0.0</v>
      </c>
      <c r="M11" s="1">
        <v>0.0</v>
      </c>
      <c r="N11" s="1">
        <v>0.9999999403953552</v>
      </c>
      <c r="O11" s="1">
        <v>0.9999999403953552</v>
      </c>
    </row>
    <row r="12">
      <c r="A12" s="1" t="s">
        <v>58</v>
      </c>
      <c r="B12" s="1" t="s">
        <v>16</v>
      </c>
      <c r="C12" s="1" t="s">
        <v>54</v>
      </c>
      <c r="D12" s="1">
        <v>0.0662013337529396</v>
      </c>
      <c r="E12" s="1">
        <v>0.7369204759597778</v>
      </c>
      <c r="F12" s="1">
        <v>0.7343300580978394</v>
      </c>
      <c r="G12" s="1">
        <v>0.7356230020523071</v>
      </c>
      <c r="H12" s="1">
        <v>0.47328244274809156</v>
      </c>
      <c r="I12" s="1">
        <v>0.11952744961779012</v>
      </c>
      <c r="J12" s="1">
        <v>0.18459403192227622</v>
      </c>
      <c r="K12" s="1">
        <v>0.2748091603053435</v>
      </c>
      <c r="L12" s="1">
        <v>0.0</v>
      </c>
      <c r="M12" s="1">
        <v>0.0</v>
      </c>
      <c r="N12" s="1">
        <v>0.9999999403953552</v>
      </c>
      <c r="O12" s="1">
        <v>0.9999999403953552</v>
      </c>
    </row>
    <row r="13">
      <c r="A13" s="1" t="s">
        <v>58</v>
      </c>
      <c r="B13" s="1" t="s">
        <v>16</v>
      </c>
      <c r="C13" s="1" t="s">
        <v>55</v>
      </c>
      <c r="D13" s="1">
        <v>0.057447065043888544</v>
      </c>
      <c r="E13" s="1">
        <v>0.7336838841438293</v>
      </c>
      <c r="F13" s="1">
        <v>0.728837251663208</v>
      </c>
      <c r="G13" s="1">
        <v>0.7312526106834412</v>
      </c>
      <c r="H13" s="1">
        <v>0.48</v>
      </c>
      <c r="I13" s="1">
        <v>0.1172106824925816</v>
      </c>
      <c r="J13" s="1">
        <v>0.19111111111111112</v>
      </c>
      <c r="K13" s="1">
        <v>0.24740740740740738</v>
      </c>
      <c r="L13" s="1">
        <v>0.0</v>
      </c>
      <c r="M13" s="1">
        <v>0.0</v>
      </c>
      <c r="N13" s="1">
        <v>0.9999999403953552</v>
      </c>
      <c r="O13" s="1">
        <v>0.9999999403953552</v>
      </c>
    </row>
    <row r="14">
      <c r="A14" s="1" t="s">
        <v>59</v>
      </c>
      <c r="B14" s="1" t="s">
        <v>16</v>
      </c>
      <c r="C14" s="1" t="s">
        <v>53</v>
      </c>
      <c r="D14" s="1">
        <v>0.06347715110970356</v>
      </c>
      <c r="E14" s="1">
        <v>0.7468788623809814</v>
      </c>
      <c r="F14" s="1">
        <v>0.7413676977157593</v>
      </c>
      <c r="G14" s="1">
        <v>0.7441130876541138</v>
      </c>
      <c r="H14" s="1">
        <v>0.4995918367346939</v>
      </c>
      <c r="I14" s="1">
        <v>0.14881439084219134</v>
      </c>
      <c r="J14" s="1">
        <v>0.20408163265306123</v>
      </c>
      <c r="K14" s="1">
        <v>0.26448979591836735</v>
      </c>
      <c r="L14" s="1">
        <v>0.0</v>
      </c>
      <c r="M14" s="1">
        <v>0.0</v>
      </c>
      <c r="N14" s="1">
        <v>0.9999999403953552</v>
      </c>
      <c r="O14" s="1">
        <v>0.9999999403953552</v>
      </c>
    </row>
    <row r="15">
      <c r="A15" s="1" t="s">
        <v>59</v>
      </c>
      <c r="B15" s="1" t="s">
        <v>16</v>
      </c>
      <c r="C15" s="1" t="s">
        <v>54</v>
      </c>
      <c r="D15" s="1">
        <v>0.07662583224602257</v>
      </c>
      <c r="E15" s="1">
        <v>0.7457675933837891</v>
      </c>
      <c r="F15" s="1">
        <v>0.7422122359275818</v>
      </c>
      <c r="G15" s="1">
        <v>0.7439855933189392</v>
      </c>
      <c r="H15" s="1">
        <v>0.516870064608758</v>
      </c>
      <c r="I15" s="1">
        <v>0.13515456506110712</v>
      </c>
      <c r="J15" s="1">
        <v>0.18951902368987794</v>
      </c>
      <c r="K15" s="1">
        <v>0.2627422828427854</v>
      </c>
      <c r="L15" s="1">
        <v>0.0</v>
      </c>
      <c r="M15" s="1">
        <v>0.0</v>
      </c>
      <c r="N15" s="1">
        <v>0.9999999403953552</v>
      </c>
      <c r="O15" s="1">
        <v>0.9999999403953552</v>
      </c>
    </row>
    <row r="16">
      <c r="A16" s="1" t="s">
        <v>59</v>
      </c>
      <c r="B16" s="1" t="s">
        <v>16</v>
      </c>
      <c r="C16" s="1" t="s">
        <v>55</v>
      </c>
      <c r="D16" s="1">
        <v>0.07708339747319241</v>
      </c>
      <c r="E16" s="1">
        <v>0.7461416721343994</v>
      </c>
      <c r="F16" s="1">
        <v>0.737066388130188</v>
      </c>
      <c r="G16" s="1">
        <v>0.7415763139724731</v>
      </c>
      <c r="H16" s="1">
        <v>0.48847926267281105</v>
      </c>
      <c r="I16" s="1">
        <v>0.15384615384615385</v>
      </c>
      <c r="J16" s="1">
        <v>0.19354838709677416</v>
      </c>
      <c r="K16" s="1">
        <v>0.2795698924731183</v>
      </c>
      <c r="L16" s="1">
        <v>0.0</v>
      </c>
      <c r="M16" s="1">
        <v>0.0</v>
      </c>
      <c r="N16" s="1">
        <v>0.9999999403953552</v>
      </c>
      <c r="O16" s="1">
        <v>0.9999999403953552</v>
      </c>
    </row>
    <row r="17">
      <c r="A17" s="1" t="s">
        <v>60</v>
      </c>
      <c r="B17" s="1" t="s">
        <v>16</v>
      </c>
      <c r="C17" s="1" t="s">
        <v>53</v>
      </c>
      <c r="D17" s="1">
        <v>0.06159405278311326</v>
      </c>
      <c r="E17" s="1">
        <v>0.7569851279258728</v>
      </c>
      <c r="F17" s="1">
        <v>0.735637903213501</v>
      </c>
      <c r="G17" s="1">
        <v>0.7461588382720947</v>
      </c>
      <c r="H17" s="1">
        <v>0.5266362252663623</v>
      </c>
      <c r="I17" s="1">
        <v>0.19207317073170732</v>
      </c>
      <c r="J17" s="1">
        <v>0.1933028919330289</v>
      </c>
      <c r="K17" s="1">
        <v>0.2785388127853881</v>
      </c>
      <c r="L17" s="1">
        <v>0.0</v>
      </c>
      <c r="M17" s="1">
        <v>0.0</v>
      </c>
      <c r="N17" s="1">
        <v>0.9999999403953552</v>
      </c>
      <c r="O17" s="1">
        <v>0.9999999403953552</v>
      </c>
    </row>
    <row r="18">
      <c r="A18" s="1" t="s">
        <v>60</v>
      </c>
      <c r="B18" s="1" t="s">
        <v>16</v>
      </c>
      <c r="C18" s="1" t="s">
        <v>54</v>
      </c>
      <c r="D18" s="1">
        <v>0.07140954331261277</v>
      </c>
      <c r="E18" s="1">
        <v>0.7513466477394104</v>
      </c>
      <c r="F18" s="1">
        <v>0.7315009832382202</v>
      </c>
      <c r="G18" s="1">
        <v>0.7412909865379333</v>
      </c>
      <c r="H18" s="1">
        <v>0.5465587044534412</v>
      </c>
      <c r="I18" s="1">
        <v>0.16216216216216214</v>
      </c>
      <c r="J18" s="1">
        <v>0.19433198380566802</v>
      </c>
      <c r="K18" s="1">
        <v>0.27125506072874495</v>
      </c>
      <c r="L18" s="1">
        <v>0.0</v>
      </c>
      <c r="M18" s="1">
        <v>0.0</v>
      </c>
      <c r="N18" s="1">
        <v>0.9999999403953552</v>
      </c>
      <c r="O18" s="1">
        <v>0.9999999403953552</v>
      </c>
    </row>
    <row r="19">
      <c r="A19" s="1" t="s">
        <v>60</v>
      </c>
      <c r="B19" s="1" t="s">
        <v>16</v>
      </c>
      <c r="C19" s="1" t="s">
        <v>55</v>
      </c>
      <c r="D19" s="1">
        <v>0.0693677572808212</v>
      </c>
      <c r="E19" s="1">
        <v>0.7482932209968567</v>
      </c>
      <c r="F19" s="1">
        <v>0.7243104577064514</v>
      </c>
      <c r="G19" s="1">
        <v>0.7361065149307251</v>
      </c>
      <c r="H19" s="1">
        <v>0.5492451473759885</v>
      </c>
      <c r="I19" s="1">
        <v>0.18718502519798416</v>
      </c>
      <c r="J19" s="1">
        <v>0.19841840402588068</v>
      </c>
      <c r="K19" s="1">
        <v>0.30050323508267435</v>
      </c>
      <c r="L19" s="1">
        <v>0.0</v>
      </c>
      <c r="M19" s="1">
        <v>0.0</v>
      </c>
      <c r="N19" s="1">
        <v>0.9999999403953552</v>
      </c>
      <c r="O19" s="1">
        <v>0.9999999403953552</v>
      </c>
    </row>
    <row r="21" ht="15.75" customHeight="1">
      <c r="C21" s="2"/>
    </row>
    <row r="22" ht="15.75" customHeight="1"/>
    <row r="23" ht="15.75" customHeight="1"/>
    <row r="24" ht="15.75" customHeight="1"/>
    <row r="25" ht="15.75" customHeight="1">
      <c r="B2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18.71"/>
    <col customWidth="1" min="16" max="16" width="26.86"/>
    <col customWidth="1" min="17" max="19" width="18.71"/>
    <col customWidth="1" min="20" max="20" width="21.57"/>
    <col customWidth="1" min="21" max="21" width="18.71"/>
    <col customWidth="1" min="22" max="22" width="23.86"/>
    <col customWidth="1" min="23" max="26" width="18.71"/>
    <col customWidth="1" min="27" max="27" width="21.86"/>
    <col customWidth="1" min="28" max="97" width="18.71"/>
  </cols>
  <sheetData>
    <row r="1" ht="37.5" customHeight="1">
      <c r="A1" s="13" t="s">
        <v>88</v>
      </c>
      <c r="O1" s="13" t="s">
        <v>89</v>
      </c>
      <c r="AC1" s="13" t="s">
        <v>90</v>
      </c>
      <c r="AQ1" s="13" t="s">
        <v>91</v>
      </c>
      <c r="BE1" s="13" t="s">
        <v>92</v>
      </c>
      <c r="BS1" s="13" t="s">
        <v>93</v>
      </c>
      <c r="CG1" s="13" t="s">
        <v>94</v>
      </c>
    </row>
    <row r="2">
      <c r="B2" s="14" t="s">
        <v>3</v>
      </c>
      <c r="C2" s="14" t="s">
        <v>4</v>
      </c>
      <c r="D2" s="14" t="s">
        <v>5</v>
      </c>
      <c r="E2" s="14" t="s">
        <v>6</v>
      </c>
      <c r="F2" s="14" t="s">
        <v>7</v>
      </c>
      <c r="G2" s="14" t="s">
        <v>8</v>
      </c>
      <c r="H2" s="14" t="s">
        <v>9</v>
      </c>
      <c r="I2" s="14" t="s">
        <v>10</v>
      </c>
      <c r="J2" s="14" t="s">
        <v>11</v>
      </c>
      <c r="K2" s="14" t="s">
        <v>12</v>
      </c>
      <c r="L2" s="14" t="s">
        <v>13</v>
      </c>
      <c r="M2" s="14" t="s">
        <v>14</v>
      </c>
      <c r="P2" s="14" t="s">
        <v>3</v>
      </c>
      <c r="Q2" s="14" t="s">
        <v>4</v>
      </c>
      <c r="R2" s="14" t="s">
        <v>5</v>
      </c>
      <c r="S2" s="14" t="s">
        <v>6</v>
      </c>
      <c r="T2" s="14" t="s">
        <v>7</v>
      </c>
      <c r="U2" s="14" t="s">
        <v>8</v>
      </c>
      <c r="V2" s="14" t="s">
        <v>9</v>
      </c>
      <c r="W2" s="14" t="s">
        <v>10</v>
      </c>
      <c r="X2" s="14" t="s">
        <v>11</v>
      </c>
      <c r="Y2" s="14" t="s">
        <v>12</v>
      </c>
      <c r="Z2" s="14" t="s">
        <v>13</v>
      </c>
      <c r="AA2" s="14" t="s">
        <v>14</v>
      </c>
      <c r="AD2" s="14" t="s">
        <v>3</v>
      </c>
      <c r="AE2" s="14" t="s">
        <v>4</v>
      </c>
      <c r="AF2" s="14" t="s">
        <v>5</v>
      </c>
      <c r="AG2" s="14" t="s">
        <v>6</v>
      </c>
      <c r="AH2" s="14" t="s">
        <v>7</v>
      </c>
      <c r="AI2" s="14" t="s">
        <v>8</v>
      </c>
      <c r="AJ2" s="14" t="s">
        <v>9</v>
      </c>
      <c r="AK2" s="14" t="s">
        <v>10</v>
      </c>
      <c r="AL2" s="14" t="s">
        <v>11</v>
      </c>
      <c r="AM2" s="14" t="s">
        <v>12</v>
      </c>
      <c r="AN2" s="14" t="s">
        <v>13</v>
      </c>
      <c r="AO2" s="14" t="s">
        <v>14</v>
      </c>
      <c r="AR2" s="14" t="s">
        <v>3</v>
      </c>
      <c r="AS2" s="14" t="s">
        <v>4</v>
      </c>
      <c r="AT2" s="14" t="s">
        <v>5</v>
      </c>
      <c r="AU2" s="14" t="s">
        <v>6</v>
      </c>
      <c r="AV2" s="14" t="s">
        <v>7</v>
      </c>
      <c r="AW2" s="14" t="s">
        <v>8</v>
      </c>
      <c r="AX2" s="14" t="s">
        <v>9</v>
      </c>
      <c r="AY2" s="14" t="s">
        <v>10</v>
      </c>
      <c r="AZ2" s="14" t="s">
        <v>11</v>
      </c>
      <c r="BA2" s="14" t="s">
        <v>12</v>
      </c>
      <c r="BB2" s="14" t="s">
        <v>13</v>
      </c>
      <c r="BC2" s="14" t="s">
        <v>14</v>
      </c>
      <c r="BF2" s="14" t="s">
        <v>3</v>
      </c>
      <c r="BG2" s="14" t="s">
        <v>4</v>
      </c>
      <c r="BH2" s="14" t="s">
        <v>5</v>
      </c>
      <c r="BI2" s="14" t="s">
        <v>6</v>
      </c>
      <c r="BJ2" s="14" t="s">
        <v>7</v>
      </c>
      <c r="BK2" s="14" t="s">
        <v>8</v>
      </c>
      <c r="BL2" s="14" t="s">
        <v>9</v>
      </c>
      <c r="BM2" s="14" t="s">
        <v>10</v>
      </c>
      <c r="BN2" s="14" t="s">
        <v>11</v>
      </c>
      <c r="BO2" s="14" t="s">
        <v>12</v>
      </c>
      <c r="BP2" s="14" t="s">
        <v>13</v>
      </c>
      <c r="BQ2" s="14" t="s">
        <v>14</v>
      </c>
      <c r="BT2" s="14" t="s">
        <v>3</v>
      </c>
      <c r="BU2" s="14" t="s">
        <v>4</v>
      </c>
      <c r="BV2" s="14" t="s">
        <v>5</v>
      </c>
      <c r="BW2" s="14" t="s">
        <v>6</v>
      </c>
      <c r="BX2" s="14" t="s">
        <v>7</v>
      </c>
      <c r="BY2" s="14" t="s">
        <v>8</v>
      </c>
      <c r="BZ2" s="14" t="s">
        <v>9</v>
      </c>
      <c r="CA2" s="14" t="s">
        <v>10</v>
      </c>
      <c r="CB2" s="14" t="s">
        <v>11</v>
      </c>
      <c r="CC2" s="14" t="s">
        <v>12</v>
      </c>
      <c r="CD2" s="14" t="s">
        <v>13</v>
      </c>
      <c r="CE2" s="14" t="s">
        <v>14</v>
      </c>
      <c r="CH2" s="14" t="s">
        <v>3</v>
      </c>
      <c r="CI2" s="14" t="s">
        <v>4</v>
      </c>
      <c r="CJ2" s="14" t="s">
        <v>5</v>
      </c>
      <c r="CK2" s="14" t="s">
        <v>6</v>
      </c>
      <c r="CL2" s="14" t="s">
        <v>7</v>
      </c>
      <c r="CM2" s="14" t="s">
        <v>8</v>
      </c>
      <c r="CN2" s="14" t="s">
        <v>9</v>
      </c>
      <c r="CO2" s="14" t="s">
        <v>10</v>
      </c>
      <c r="CP2" s="14" t="s">
        <v>11</v>
      </c>
      <c r="CQ2" s="14" t="s">
        <v>12</v>
      </c>
      <c r="CR2" s="14" t="s">
        <v>13</v>
      </c>
      <c r="CS2" s="14" t="s">
        <v>14</v>
      </c>
    </row>
    <row r="3">
      <c r="A3" s="15" t="s">
        <v>95</v>
      </c>
      <c r="B3" s="16" t="str">
        <f t="array" ref="B3">INDEX('metricas_redações_diplomatas'!$C:$C, MATCH(LARGE('metricas_redações_diplomatas'!D:D, 1),'metricas_redações_diplomatas'!D:D, 0))</f>
        <v>gpt4o_temp05</v>
      </c>
      <c r="C3" s="16" t="str">
        <f t="array" ref="C3">INDEX('metricas_redações_diplomatas'!$C:$C, MATCH(LARGE('metricas_redações_diplomatas'!E:E, 1),'metricas_redações_diplomatas'!E:E, 0))</f>
        <v>llama_405b_temp07</v>
      </c>
      <c r="D3" s="16" t="str">
        <f t="array" ref="D3">INDEX('metricas_redações_diplomatas'!$C:$C, MATCH(LARGE('metricas_redações_diplomatas'!F:F, 1),'metricas_redações_diplomatas'!F:F, 0))</f>
        <v>sabia3_temp03</v>
      </c>
      <c r="E3" s="16" t="str">
        <f t="array" ref="E3">INDEX('metricas_redações_diplomatas'!$C:$C, MATCH(LARGE('metricas_redações_diplomatas'!G:G, 1),'metricas_redações_diplomatas'!G:G, 0))</f>
        <v>sabia3_temp03</v>
      </c>
      <c r="F3" s="16" t="str">
        <f t="array" ref="F3">INDEX('metricas_redações_diplomatas'!$C:$C, MATCH(LARGE('metricas_redações_diplomatas'!H:H, 1),'metricas_redações_diplomatas'!H:H, 0))</f>
        <v>sabia3_temp07</v>
      </c>
      <c r="G3" s="16" t="str">
        <f t="array" ref="G3">INDEX('metricas_redações_diplomatas'!$C:$C, MATCH(LARGE('metricas_redações_diplomatas'!I:I, 1),'metricas_redações_diplomatas'!I:I, 0))</f>
        <v>sabia3_temp03</v>
      </c>
      <c r="H3" s="16" t="str">
        <f t="array" ref="H3">INDEX('metricas_redações_diplomatas'!$C:$C, MATCH(LARGE('metricas_redações_diplomatas'!J:J, 1),'metricas_redações_diplomatas'!J:J, 0))</f>
        <v>gemma_9b_temp05</v>
      </c>
      <c r="I3" s="16" t="str">
        <f t="array" ref="I3">INDEX('metricas_redações_diplomatas'!$C:$C, MATCH(LARGE('metricas_redações_diplomatas'!K:K, 1),'metricas_redações_diplomatas'!K:K, 0))</f>
        <v>command_r_plus_08_2024_temp03</v>
      </c>
      <c r="J3" s="16" t="str">
        <f t="array" ref="J3">INDEX('metricas_redações_diplomatas'!$C:$C, MATCH(LARGE('metricas_redações_diplomatas'!L:L, 1),'metricas_redações_diplomatas'!L:L, 0))</f>
        <v>phi_3_mini_temp07</v>
      </c>
      <c r="K3" s="16" t="str">
        <f t="array" ref="K3">INDEX('metricas_redações_diplomatas'!$C:$C, MATCH(LARGE('metricas_redações_diplomatas'!M:M, 1),'metricas_redações_diplomatas'!M:M, 0))</f>
        <v>phi_3_mini_temp07</v>
      </c>
      <c r="L3" s="16" t="str">
        <f t="array" ref="L3">INDEX('metricas_redações_diplomatas'!$C:$C, MATCH(LARGE('metricas_redações_diplomatas'!N:N, 1),'metricas_redações_diplomatas'!N:N, 0))</f>
        <v>gpt4o_temp03</v>
      </c>
      <c r="M3" s="16" t="str">
        <f t="array" ref="M3">INDEX('metricas_redações_diplomatas'!$C:$C, MATCH(LARGE('metricas_redações_diplomatas'!O:O, 1),'metricas_redações_diplomatas'!O:O, 0))</f>
        <v>phi_3_mini_temp07</v>
      </c>
      <c r="O3" s="15" t="s">
        <v>95</v>
      </c>
      <c r="P3" s="16" t="str">
        <f t="array" ref="P3">INDEX('metricas_redações_diplomatas'!$C:$C, MATCH(LARGE('metricas_redações_diplomatas'!D2:D40, 1),'metricas_redações_diplomatas'!D:D, 0))</f>
        <v>gpt4o_temp05</v>
      </c>
      <c r="Q3" s="16" t="str">
        <f t="array" ref="Q3">INDEX('metricas_redações_diplomatas'!$C:$C, MATCH(LARGE('metricas_redações_diplomatas'!E2:E40, 1),'metricas_redações_diplomatas'!E:E, 0))</f>
        <v>mixtral_8x22b_temp07</v>
      </c>
      <c r="R3" s="16" t="str">
        <f t="array" ref="R3">INDEX('metricas_redações_diplomatas'!$C:$C, MATCH(LARGE('metricas_redações_diplomatas'!F2:F40, 1),'metricas_redações_diplomatas'!F:F, 0))</f>
        <v>sabia3_temp05</v>
      </c>
      <c r="S3" s="16" t="str">
        <f t="array" ref="S3">INDEX('metricas_redações_diplomatas'!$C:$C, MATCH(LARGE('metricas_redações_diplomatas'!G2:G40, 1),'metricas_redações_diplomatas'!G:G, 0))</f>
        <v>gemma_9b_temp03</v>
      </c>
      <c r="T3" s="16" t="str">
        <f t="array" ref="T3">INDEX('metricas_redações_diplomatas'!$C:$C, MATCH(LARGE('metricas_redações_diplomatas'!H2:H40, 1),'metricas_redações_diplomatas'!H:H, 0))</f>
        <v>gpt4o_temp07</v>
      </c>
      <c r="U3" s="16" t="str">
        <f t="array" ref="U3">INDEX('metricas_redações_diplomatas'!$C:$C, MATCH(LARGE('metricas_redações_diplomatas'!I2:I40, 1),'metricas_redações_diplomatas'!I:I, 0))</f>
        <v>gpt4o_temp03</v>
      </c>
      <c r="V3" s="16" t="str">
        <f t="array" ref="V3">INDEX('metricas_redações_diplomatas'!$C:$C, MATCH(LARGE('metricas_redações_diplomatas'!J2:J40, 1),'metricas_redações_diplomatas'!J:J, 0))</f>
        <v>gemma_9b_temp03</v>
      </c>
      <c r="W3" s="16" t="str">
        <f t="array" ref="W3">INDEX('metricas_redações_diplomatas'!$C:$C, MATCH(LARGE('metricas_redações_diplomatas'!K2:K40, 1),'metricas_redações_diplomatas'!K:K, 0))</f>
        <v>command_r_plus_08_2024_temp07</v>
      </c>
      <c r="X3" s="16" t="str">
        <f t="array" ref="X3">INDEX('metricas_redações_diplomatas'!$C:$C, MATCH(LARGE('metricas_redações_diplomatas'!L2:L40, 1),'metricas_redações_diplomatas'!L:L, 0))</f>
        <v>phi_3_mini_temp07</v>
      </c>
      <c r="Y3" s="16" t="str">
        <f t="array" ref="Y3">INDEX('metricas_redações_diplomatas'!$C:$C, MATCH(LARGE('metricas_redações_diplomatas'!M2:M40, 1),'metricas_redações_diplomatas'!M:M, 0))</f>
        <v>phi_3_mini_temp07</v>
      </c>
      <c r="Z3" s="16" t="str">
        <f t="array" ref="Z3">INDEX('metricas_redações_diplomatas'!$C:$C, MATCH(LARGE('metricas_redações_diplomatas'!N2:N40, 1),'metricas_redações_diplomatas'!N:N, 0))</f>
        <v>gpt4o_temp03</v>
      </c>
      <c r="AA3" s="16" t="str">
        <f t="array" ref="AA3">INDEX('metricas_redações_diplomatas'!$C:$C, MATCH(LARGE('metricas_redações_diplomatas'!O2:O40, 1),'metricas_redações_diplomatas'!O:O, 0))</f>
        <v>phi_3_mini_temp07</v>
      </c>
      <c r="AC3" s="15" t="s">
        <v>95</v>
      </c>
      <c r="AD3" s="16" t="str">
        <f t="array" ref="AD3">INDEX('metricas_redações_diplomatas'!$C:$C, MATCH(LARGE('metricas_redações_diplomatas'!D$41:D$79, 1),'metricas_redações_diplomatas'!D:D, 0))</f>
        <v>gpt4o_temp05</v>
      </c>
      <c r="AE3" s="16" t="str">
        <f t="array" ref="AE3">INDEX('metricas_redações_diplomatas'!$C:$C, MATCH(LARGE('metricas_redações_diplomatas'!E$41:E$79, 1),'metricas_redações_diplomatas'!E:E, 0))</f>
        <v>qwen2_7b_temp07</v>
      </c>
      <c r="AF3" s="16" t="str">
        <f t="array" ref="AF3">INDEX('metricas_redações_diplomatas'!$C:$C, MATCH(LARGE('metricas_redações_diplomatas'!F$41:F$79, 1),'metricas_redações_diplomatas'!F:F, 0))</f>
        <v>sabia3_temp03</v>
      </c>
      <c r="AG3" s="16" t="str">
        <f t="array" ref="AG3">INDEX('metricas_redações_diplomatas'!$C:$C, MATCH(LARGE('metricas_redações_diplomatas'!G$41:G$79, 1),'metricas_redações_diplomatas'!G:G, 0))</f>
        <v>sabia3_temp03</v>
      </c>
      <c r="AH3" s="16" t="str">
        <f t="array" ref="AH3">INDEX('metricas_redações_diplomatas'!$C:$C, MATCH(LARGE('metricas_redações_diplomatas'!H$41:H$79, 1),'metricas_redações_diplomatas'!H:H, 0))</f>
        <v>sabia3_temp05</v>
      </c>
      <c r="AI3" s="16" t="str">
        <f t="array" ref="AI3">INDEX('metricas_redações_diplomatas'!$C:$C, MATCH(LARGE('metricas_redações_diplomatas'!I$41:I$79, 1),'metricas_redações_diplomatas'!I:I, 0))</f>
        <v>gpt4o_temp03</v>
      </c>
      <c r="AJ3" s="16" t="str">
        <f t="array" ref="AJ3">INDEX('metricas_redações_diplomatas'!$C:$C, MATCH(LARGE('metricas_redações_diplomatas'!J$41:J$79, 1),'metricas_redações_diplomatas'!J:J, 0))</f>
        <v>llama_8b_temp05</v>
      </c>
      <c r="AK3" s="16" t="str">
        <f t="array" ref="AK3">INDEX('metricas_redações_diplomatas'!$C:$C, MATCH(LARGE('metricas_redações_diplomatas'!K$41:K$79, 1),'metricas_redações_diplomatas'!K:K, 0))</f>
        <v>command_r_plus_08_2024_temp03</v>
      </c>
      <c r="AL3" s="16" t="str">
        <f t="array" ref="AL3">INDEX('metricas_redações_diplomatas'!$C:$C, MATCH(LARGE('metricas_redações_diplomatas'!L$41:L$79, 1),'metricas_redações_diplomatas'!L:L, 0))</f>
        <v>phi_3_mini_temp07</v>
      </c>
      <c r="AM3" s="16" t="str">
        <f t="array" ref="AM3">INDEX('metricas_redações_diplomatas'!$C:$C, MATCH(LARGE('metricas_redações_diplomatas'!M$41:M$79, 1),'metricas_redações_diplomatas'!M:M, 0))</f>
        <v>phi_3_mini_temp03</v>
      </c>
      <c r="AN3" s="16" t="str">
        <f t="array" ref="AN3">INDEX('metricas_redações_diplomatas'!$C:$C, MATCH(LARGE('metricas_redações_diplomatas'!N$41:N$79, 1),'metricas_redações_diplomatas'!N:N, 0))</f>
        <v>gpt4o_temp03</v>
      </c>
      <c r="AO3" s="16" t="str">
        <f t="array" ref="AO3">INDEX('metricas_redações_diplomatas'!$C:$C, MATCH(LARGE('metricas_redações_diplomatas'!O$41:O$79, 1),'metricas_redações_diplomatas'!O:O, 0))</f>
        <v>phi_3_mini_temp03</v>
      </c>
      <c r="AQ3" s="15" t="s">
        <v>95</v>
      </c>
      <c r="AR3" s="16" t="str">
        <f t="array" ref="AR3">INDEX('metricas_redações_diplomatas'!$C:$C, MATCH(LARGE('metricas_redações_diplomatas'!D$80:D$118, 1),'metricas_redações_diplomatas'!D:D, 0))</f>
        <v>gpt4o_temp05</v>
      </c>
      <c r="AS3" s="16" t="str">
        <f t="array" ref="AS3">INDEX('metricas_redações_diplomatas'!$C:$C, MATCH(LARGE('metricas_redações_diplomatas'!E$80:E$118, 1),'metricas_redações_diplomatas'!E:E, 0))</f>
        <v>llama_405b_temp07</v>
      </c>
      <c r="AT3" s="16" t="str">
        <f t="array" ref="AT3">INDEX('metricas_redações_diplomatas'!$C:$C, MATCH(LARGE('metricas_redações_diplomatas'!F$80:F$118, 1),'metricas_redações_diplomatas'!F:F, 0))</f>
        <v>sabia3_temp03</v>
      </c>
      <c r="AU3" s="16" t="str">
        <f t="array" ref="AU3">INDEX('metricas_redações_diplomatas'!$C:$C, MATCH(LARGE('metricas_redações_diplomatas'!G$80:G$118, 1),'metricas_redações_diplomatas'!G:G, 0))</f>
        <v>sabia3_temp03</v>
      </c>
      <c r="AV3" s="16" t="str">
        <f t="array" ref="AV3">INDEX('metricas_redações_diplomatas'!$C:$C, MATCH(LARGE('metricas_redações_diplomatas'!H$80:H$118, 1),'metricas_redações_diplomatas'!H:H, 0))</f>
        <v>sabia3_temp05</v>
      </c>
      <c r="AW3" s="16" t="str">
        <f t="array" ref="AW3">INDEX('metricas_redações_diplomatas'!$C:$C, MATCH(LARGE('metricas_redações_diplomatas'!I$80:I$118, 1),'metricas_redações_diplomatas'!I:I, 0))</f>
        <v>gpt4o_temp05</v>
      </c>
      <c r="AX3" s="16" t="str">
        <f t="array" ref="AX3">INDEX('metricas_redações_diplomatas'!$C:$C, MATCH(LARGE('metricas_redações_diplomatas'!J$80:J$118, 1),'metricas_redações_diplomatas'!J:J, 0))</f>
        <v>gemma_9b_temp05</v>
      </c>
      <c r="AY3" s="16" t="str">
        <f t="array" ref="AY3">INDEX('metricas_redações_diplomatas'!$C:$C, MATCH(LARGE('metricas_redações_diplomatas'!K$80:K$118, 1),'metricas_redações_diplomatas'!K:K, 0))</f>
        <v>sabia3_temp05</v>
      </c>
      <c r="AZ3" s="16" t="str">
        <f t="array" ref="AZ3">INDEX('metricas_redações_diplomatas'!$C:$C, MATCH(LARGE('metricas_redações_diplomatas'!L$80:L$118, 1),'metricas_redações_diplomatas'!L:L, 0))</f>
        <v>phi_3_mini_temp07</v>
      </c>
      <c r="BA3" s="16" t="str">
        <f t="array" ref="BA3">INDEX('metricas_redações_diplomatas'!$C:$C, MATCH(LARGE('metricas_redações_diplomatas'!M$80:M$118, 1),'metricas_redações_diplomatas'!M:M, 0))</f>
        <v>phi_3_mini_temp07</v>
      </c>
      <c r="BB3" s="16" t="str">
        <f t="array" ref="BB3">INDEX('metricas_redações_diplomatas'!$C:$C, MATCH(LARGE('metricas_redações_diplomatas'!N$80:N$118, 1),'metricas_redações_diplomatas'!N:N, 0))</f>
        <v>gpt4o_temp03</v>
      </c>
      <c r="BC3" s="16" t="str">
        <f t="array" ref="BC3">INDEX('metricas_redações_diplomatas'!$C:$C, MATCH(LARGE('metricas_redações_diplomatas'!O$80:O$118, 1),'metricas_redações_diplomatas'!O:O, 0))</f>
        <v>gpt4o_temp03</v>
      </c>
      <c r="BE3" s="15" t="s">
        <v>95</v>
      </c>
      <c r="BF3" s="16" t="str">
        <f t="array" ref="BF3">INDEX('metricas_redações_diplomatas'!$C:$C, MATCH(LARGE('metricas_redações_diplomatas'!D$119:D$157, 1),'metricas_redações_diplomatas'!D:D, 0))</f>
        <v>sabia3_temp05</v>
      </c>
      <c r="BG3" s="16" t="str">
        <f t="array" ref="BG3">INDEX('metricas_redações_diplomatas'!$C:$C, MATCH(LARGE('metricas_redações_diplomatas'!E$119:E$157, 1),'metricas_redações_diplomatas'!E:E, 0))</f>
        <v>mixtral_8x22b_temp07</v>
      </c>
      <c r="BH3" s="16" t="str">
        <f t="array" ref="BH3">INDEX('metricas_redações_diplomatas'!$C:$C, MATCH(LARGE('metricas_redações_diplomatas'!F$119:F$157, 1),'metricas_redações_diplomatas'!F:F, 0))</f>
        <v>gpt4o_temp05</v>
      </c>
      <c r="BI3" s="16" t="str">
        <f t="array" ref="BI3">INDEX('metricas_redações_diplomatas'!$C:$C, MATCH(LARGE('metricas_redações_diplomatas'!G$119:G$157, 1),'metricas_redações_diplomatas'!G:G, 0))</f>
        <v>gpt4o_temp05</v>
      </c>
      <c r="BJ3" s="16" t="str">
        <f t="array" ref="BJ3">INDEX('metricas_redações_diplomatas'!$C:$C, MATCH(LARGE('metricas_redações_diplomatas'!H$119:H$157, 1),'metricas_redações_diplomatas'!H:H, 0))</f>
        <v>sabia3_temp07</v>
      </c>
      <c r="BK3" s="16" t="str">
        <f t="array" ref="BK3">INDEX('metricas_redações_diplomatas'!$C:$C, MATCH(LARGE('metricas_redações_diplomatas'!I$119:I$157, 1),'metricas_redações_diplomatas'!I:I, 0))</f>
        <v>llama_405b_temp05</v>
      </c>
      <c r="BL3" s="16" t="str">
        <f t="array" ref="BL3">INDEX('metricas_redações_diplomatas'!$C:$C, MATCH(LARGE('metricas_redações_diplomatas'!J$119:J$157, 1),'metricas_redações_diplomatas'!J:J, 0))</f>
        <v>gemma_9b_temp07</v>
      </c>
      <c r="BM3" s="16" t="str">
        <f t="array" ref="BM3">INDEX('metricas_redações_diplomatas'!$C:$C, MATCH(LARGE('metricas_redações_diplomatas'!K$119:K$157, 1),'metricas_redações_diplomatas'!K:K, 0))</f>
        <v>command_r_plus_08_2024_temp05</v>
      </c>
      <c r="BN3" s="16" t="str">
        <f t="array" ref="BN3">INDEX('metricas_redações_diplomatas'!$C:$C, MATCH(LARGE('metricas_redações_diplomatas'!L$119:L$157, 1),'metricas_redações_diplomatas'!L:L, 0))</f>
        <v>phi_3_mini_temp07</v>
      </c>
      <c r="BO3" s="16" t="str">
        <f t="array" ref="BO3">INDEX('metricas_redações_diplomatas'!$C:$C, MATCH(LARGE('metricas_redações_diplomatas'!M$119:M$157, 1),'metricas_redações_diplomatas'!M:M, 0))</f>
        <v>phi_3_mini_temp07</v>
      </c>
      <c r="BP3" s="16" t="str">
        <f t="array" ref="BP3">INDEX('metricas_redações_diplomatas'!$C:$C, MATCH(LARGE('metricas_redações_diplomatas'!N$119:N$157, 1),'metricas_redações_diplomatas'!N:N, 0))</f>
        <v>gpt4o_temp03</v>
      </c>
      <c r="BQ3" s="16" t="str">
        <f t="array" ref="BQ3">INDEX('metricas_redações_diplomatas'!$C:$C, MATCH(LARGE('metricas_redações_diplomatas'!O$119:O$157, 1),'metricas_redações_diplomatas'!O:O, 0))</f>
        <v>gpt4o_temp03</v>
      </c>
      <c r="BS3" s="15" t="s">
        <v>95</v>
      </c>
      <c r="BT3" s="16" t="str">
        <f t="array" ref="BT3">INDEX('metricas_redações_diplomatas'!$C:$C, MATCH(LARGE('metricas_redações_diplomatas'!D$158:D$196, 1),'metricas_redações_diplomatas'!D:D, 0))</f>
        <v>llama_405b_temp03</v>
      </c>
      <c r="BU3" s="16" t="str">
        <f t="array" ref="BU3">INDEX('metricas_redações_diplomatas'!$C:$C, MATCH(LARGE('metricas_redações_diplomatas'!E$158:E$196, 1),'metricas_redações_diplomatas'!E:E, 0))</f>
        <v>mixtral_8x22b_temp03</v>
      </c>
      <c r="BV3" s="16" t="str">
        <f t="array" ref="BV3">INDEX('metricas_redações_diplomatas'!$C:$C, MATCH(LARGE('metricas_redações_diplomatas'!F$158:F$196, 1),'metricas_redações_diplomatas'!F:F, 0))</f>
        <v>sabia3_temp05</v>
      </c>
      <c r="BW3" s="16" t="str">
        <f t="array" ref="BW3">INDEX('metricas_redações_diplomatas'!$C:$C, MATCH(LARGE('metricas_redações_diplomatas'!G$158:G$196, 1),'metricas_redações_diplomatas'!G:G, 0))</f>
        <v>sabia3_temp03</v>
      </c>
      <c r="BX3" s="16" t="str">
        <f t="array" ref="BX3">INDEX('metricas_redações_diplomatas'!$C:$C, MATCH(LARGE('metricas_redações_diplomatas'!H$158:H$196, 1),'metricas_redações_diplomatas'!H:H, 0))</f>
        <v>sabia3_temp05</v>
      </c>
      <c r="BY3" s="16" t="str">
        <f t="array" ref="BY3">INDEX('metricas_redações_diplomatas'!$C:$C, MATCH(LARGE('metricas_redações_diplomatas'!I$158:I$196, 1),'metricas_redações_diplomatas'!I:I, 0))</f>
        <v>sabia3_temp07</v>
      </c>
      <c r="BZ3" s="16" t="str">
        <f t="array" ref="BZ3">INDEX('metricas_redações_diplomatas'!$C:$C, MATCH(LARGE('metricas_redações_diplomatas'!J$158:J$196, 1),'metricas_redações_diplomatas'!J:J, 0))</f>
        <v>sabia3_temp03</v>
      </c>
      <c r="CA3" s="16" t="str">
        <f t="array" ref="CA3">INDEX('metricas_redações_diplomatas'!$C:$C, MATCH(LARGE('metricas_redações_diplomatas'!K$158:K$196, 1),'metricas_redações_diplomatas'!K:K, 0))</f>
        <v>mixtral_8x7b_temp03</v>
      </c>
      <c r="CB3" s="16" t="str">
        <f t="array" ref="CB3">INDEX('metricas_redações_diplomatas'!$C:$C, MATCH(LARGE('metricas_redações_diplomatas'!L$158:L$196, 1),'metricas_redações_diplomatas'!L:L, 0))</f>
        <v>phi_3_mini_temp07</v>
      </c>
      <c r="CC3" s="16" t="str">
        <f t="array" ref="CC3">INDEX('metricas_redações_diplomatas'!$C:$C, MATCH(LARGE('metricas_redações_diplomatas'!M$158:M$196, 1),'metricas_redações_diplomatas'!M:M, 0))</f>
        <v>phi_3_mini_temp07</v>
      </c>
      <c r="CD3" s="16" t="str">
        <f t="array" ref="CD3">INDEX('metricas_redações_diplomatas'!$C:$C, MATCH(LARGE('metricas_redações_diplomatas'!N$158:N$196, 1),'metricas_redações_diplomatas'!N:N, 0))</f>
        <v>gpt4o_temp03</v>
      </c>
      <c r="CE3" s="16" t="str">
        <f t="array" ref="CE3">INDEX('metricas_redações_diplomatas'!$C:$C, MATCH(LARGE('metricas_redações_diplomatas'!O$158:O$196, 1),'metricas_redações_diplomatas'!O:O, 0))</f>
        <v>gpt4o_temp03</v>
      </c>
      <c r="CG3" s="15" t="s">
        <v>95</v>
      </c>
      <c r="CH3" s="16" t="str">
        <f t="array" ref="CH3">INDEX('metricas_redações_diplomatas'!$C:$C, MATCH(LARGE('metricas_redações_diplomatas'!D$197:D$235, 1),'metricas_redações_diplomatas'!D:D, 0))</f>
        <v>command_r_plus_08_2024_temp05</v>
      </c>
      <c r="CI3" s="16" t="str">
        <f t="array" ref="CI3">INDEX('metricas_redações_diplomatas'!$C:$C, MATCH(LARGE('metricas_redações_diplomatas'!E$197:E$235, 1),'metricas_redações_diplomatas'!E:E, 0))</f>
        <v>sabia3_temp03</v>
      </c>
      <c r="CJ3" s="16" t="str">
        <f t="array" ref="CJ3">INDEX('metricas_redações_diplomatas'!$C:$C, MATCH(LARGE('metricas_redações_diplomatas'!F$197:F$235, 1),'metricas_redações_diplomatas'!F:F, 0))</f>
        <v>gpt4o_temp07</v>
      </c>
      <c r="CK3" s="16" t="str">
        <f t="array" ref="CK3">INDEX('metricas_redações_diplomatas'!$C:$C, MATCH(LARGE('metricas_redações_diplomatas'!G$197:G$235, 1),'metricas_redações_diplomatas'!G:G, 0))</f>
        <v>sabia3_temp03</v>
      </c>
      <c r="CL3" s="16" t="str">
        <f t="array" ref="CL3">INDEX('metricas_redações_diplomatas'!$C:$C, MATCH(LARGE('metricas_redações_diplomatas'!H$197:H$235, 1),'metricas_redações_diplomatas'!H:H, 0))</f>
        <v>sabia3_temp07</v>
      </c>
      <c r="CM3" s="16" t="str">
        <f t="array" ref="CM3">INDEX('metricas_redações_diplomatas'!$C:$C, MATCH(LARGE('metricas_redações_diplomatas'!I$197:I$235, 1),'metricas_redações_diplomatas'!I:I, 0))</f>
        <v>sabia3_temp03</v>
      </c>
      <c r="CN3" s="16" t="str">
        <f t="array" ref="CN3">INDEX('metricas_redações_diplomatas'!$C:$C, MATCH(LARGE('metricas_redações_diplomatas'!J$197:J$235, 1),'metricas_redações_diplomatas'!J:J, 0))</f>
        <v>gemma_9b_temp03</v>
      </c>
      <c r="CO3" s="16" t="str">
        <f t="array" ref="CO3">INDEX('metricas_redações_diplomatas'!$C:$C, MATCH(LARGE('metricas_redações_diplomatas'!K$197:K$235, 1),'metricas_redações_diplomatas'!K:K, 0))</f>
        <v>command_r_plus_08_2024_temp03</v>
      </c>
      <c r="CP3" s="16" t="str">
        <f t="array" ref="CP3">INDEX('metricas_redações_diplomatas'!$C:$C, MATCH(LARGE('metricas_redações_diplomatas'!L$197:L$235, 1),'metricas_redações_diplomatas'!L:L, 0))</f>
        <v>phi_3_mini_temp07</v>
      </c>
      <c r="CQ3" s="16" t="str">
        <f t="array" ref="CQ3">INDEX('metricas_redações_diplomatas'!$C:$C, MATCH(LARGE('metricas_redações_diplomatas'!M$197:M$235, 1),'metricas_redações_diplomatas'!M:M, 0))</f>
        <v>phi_3_mini_temp07</v>
      </c>
      <c r="CR3" s="16" t="str">
        <f t="array" ref="CR3">INDEX('metricas_redações_diplomatas'!$C:$C, MATCH(LARGE('metricas_redações_diplomatas'!N$197:N$235, 1),'metricas_redações_diplomatas'!N:N, 0))</f>
        <v>gpt4o_temp03</v>
      </c>
      <c r="CS3" s="16" t="str">
        <f t="array" ref="CS3">INDEX('metricas_redações_diplomatas'!$C:$C, MATCH(LARGE('metricas_redações_diplomatas'!O$197:O$235, 1),'metricas_redações_diplomatas'!O:O, 0))</f>
        <v>gpt4o_temp03</v>
      </c>
    </row>
    <row r="4">
      <c r="A4" s="15" t="s">
        <v>96</v>
      </c>
      <c r="B4" s="16" t="str">
        <f t="array" ref="B4">INDEX('metricas_redações_diplomatas'!$C:$C, MATCH(LARGE('metricas_redações_diplomatas'!D:D, 2),'metricas_redações_diplomatas'!D:D, 0))</f>
        <v>gpt4o_temp03</v>
      </c>
      <c r="C4" s="16" t="str">
        <f t="array" ref="C4">INDEX('metricas_redações_diplomatas'!$C:$C, MATCH(LARGE('metricas_redações_diplomatas'!E:E, 2),'metricas_redações_diplomatas'!E:E, 0))</f>
        <v>gemma_9b_temp05</v>
      </c>
      <c r="D4" s="16" t="str">
        <f t="array" ref="D4">INDEX('metricas_redações_diplomatas'!$C:$C, MATCH(LARGE('metricas_redações_diplomatas'!F:F, 2),'metricas_redações_diplomatas'!F:F, 0))</f>
        <v>sabia3_temp07</v>
      </c>
      <c r="E4" s="16" t="str">
        <f t="array" ref="E4">INDEX('metricas_redações_diplomatas'!$C:$C, MATCH(LARGE('metricas_redações_diplomatas'!G:G, 2),'metricas_redações_diplomatas'!G:G, 0))</f>
        <v>sabia3_temp07</v>
      </c>
      <c r="F4" s="16" t="str">
        <f t="array" ref="F4">INDEX('metricas_redações_diplomatas'!$C:$C, MATCH(LARGE('metricas_redações_diplomatas'!H:H, 2),'metricas_redações_diplomatas'!H:H, 0))</f>
        <v>sabia3_temp05</v>
      </c>
      <c r="G4" s="16" t="str">
        <f t="array" ref="G4">INDEX('metricas_redações_diplomatas'!$C:$C, MATCH(LARGE('metricas_redações_diplomatas'!I:I, 2),'metricas_redações_diplomatas'!I:I, 0))</f>
        <v>sabia3_temp07</v>
      </c>
      <c r="H4" s="16" t="str">
        <f t="array" ref="H4">INDEX('metricas_redações_diplomatas'!$C:$C, MATCH(LARGE('metricas_redações_diplomatas'!J:J, 2),'metricas_redações_diplomatas'!J:J, 0))</f>
        <v>gemma_9b_temp03</v>
      </c>
      <c r="I4" s="16" t="str">
        <f t="array" ref="I4">INDEX('metricas_redações_diplomatas'!$C:$C, MATCH(LARGE('metricas_redações_diplomatas'!K:K, 2),'metricas_redações_diplomatas'!K:K, 0))</f>
        <v>sabia3_temp07</v>
      </c>
      <c r="J4" s="16" t="str">
        <f t="array" ref="J4">INDEX('metricas_redações_diplomatas'!$C:$C, MATCH(LARGE('metricas_redações_diplomatas'!L:L, 2),'metricas_redações_diplomatas'!L:L, 0))</f>
        <v>phi_3_mini_temp07</v>
      </c>
      <c r="K4" s="16" t="str">
        <f t="array" ref="K4">INDEX('metricas_redações_diplomatas'!$C:$C, MATCH(LARGE('metricas_redações_diplomatas'!M:M, 2),'metricas_redações_diplomatas'!M:M, 0))</f>
        <v>phi_3_mini_temp07</v>
      </c>
      <c r="L4" s="16" t="str">
        <f t="array" ref="L4">INDEX('metricas_redações_diplomatas'!$C:$C, MATCH(LARGE('metricas_redações_diplomatas'!N:N, 2),'metricas_redações_diplomatas'!N:N, 0))</f>
        <v>gpt4o_temp03</v>
      </c>
      <c r="M4" s="16" t="str">
        <f t="array" ref="M4">INDEX('metricas_redações_diplomatas'!$C:$C, MATCH(LARGE('metricas_redações_diplomatas'!O:O, 2),'metricas_redações_diplomatas'!O:O, 0))</f>
        <v>gpt4o_temp03</v>
      </c>
      <c r="O4" s="15" t="s">
        <v>96</v>
      </c>
      <c r="P4" s="16" t="str">
        <f t="array" ref="P4">INDEX('metricas_redações_diplomatas'!$C:$C, MATCH(LARGE('metricas_redações_diplomatas'!D2:D40, 2),'metricas_redações_diplomatas'!D:D, 0))</f>
        <v>gpt4o_temp03</v>
      </c>
      <c r="Q4" s="16" t="str">
        <f t="array" ref="Q4">INDEX('metricas_redações_diplomatas'!$C:$C, MATCH(LARGE('metricas_redações_diplomatas'!E2:E40, 2),'metricas_redações_diplomatas'!E:E, 0))</f>
        <v>gemma_9b_temp05</v>
      </c>
      <c r="R4" s="16" t="str">
        <f t="array" ref="R4">INDEX('metricas_redações_diplomatas'!$C:$C, MATCH(LARGE('metricas_redações_diplomatas'!F2:F40, 2),'metricas_redações_diplomatas'!F:F, 0))</f>
        <v>qwen2_72b_temp05</v>
      </c>
      <c r="S4" s="16" t="str">
        <f t="array" ref="S4">INDEX('metricas_redações_diplomatas'!$C:$C, MATCH(LARGE('metricas_redações_diplomatas'!G2:G40, 2),'metricas_redações_diplomatas'!G:G, 0))</f>
        <v>gemma_9b_temp05</v>
      </c>
      <c r="T4" s="16" t="str">
        <f t="array" ref="T4">INDEX('metricas_redações_diplomatas'!$C:$C, MATCH(LARGE('metricas_redações_diplomatas'!H2:H40, 2),'metricas_redações_diplomatas'!H:H, 0))</f>
        <v>gpt4o_temp03</v>
      </c>
      <c r="U4" s="16" t="str">
        <f t="array" ref="U4">INDEX('metricas_redações_diplomatas'!$C:$C, MATCH(LARGE('metricas_redações_diplomatas'!I2:I40, 2),'metricas_redações_diplomatas'!I:I, 0))</f>
        <v>gpt4o_temp05</v>
      </c>
      <c r="V4" s="16" t="str">
        <f t="array" ref="V4">INDEX('metricas_redações_diplomatas'!$C:$C, MATCH(LARGE('metricas_redações_diplomatas'!J2:J40, 2),'metricas_redações_diplomatas'!J:J, 0))</f>
        <v>gemma_9b_temp05</v>
      </c>
      <c r="W4" s="16" t="str">
        <f t="array" ref="W4">INDEX('metricas_redações_diplomatas'!$C:$C, MATCH(LARGE('metricas_redações_diplomatas'!K2:K40, 2),'metricas_redações_diplomatas'!K:K, 0))</f>
        <v>gpt4o_temp07</v>
      </c>
      <c r="X4" s="16" t="str">
        <f t="array" ref="X4">INDEX('metricas_redações_diplomatas'!$C:$C, MATCH(LARGE('metricas_redações_diplomatas'!L2:L40, 2),'metricas_redações_diplomatas'!L:L, 0))</f>
        <v>phi_3_mini_temp03</v>
      </c>
      <c r="Y4" s="16" t="str">
        <f t="array" ref="Y4">INDEX('metricas_redações_diplomatas'!$C:$C, MATCH(LARGE('metricas_redações_diplomatas'!M2:M40, 2),'metricas_redações_diplomatas'!M:M, 0))</f>
        <v>phi_3_mini_temp03</v>
      </c>
      <c r="Z4" s="16" t="str">
        <f t="array" ref="Z4">INDEX('metricas_redações_diplomatas'!$C:$C, MATCH(LARGE('metricas_redações_diplomatas'!N2:N40, 2),'metricas_redações_diplomatas'!N:N, 0))</f>
        <v>gpt4o_temp03</v>
      </c>
      <c r="AA4" s="16" t="str">
        <f t="array" ref="AA4">INDEX('metricas_redações_diplomatas'!$C:$C, MATCH(LARGE('metricas_redações_diplomatas'!O2:O40, 2),'metricas_redações_diplomatas'!O:O, 0))</f>
        <v>qwen2_7b_temp03</v>
      </c>
      <c r="AC4" s="15" t="s">
        <v>96</v>
      </c>
      <c r="AD4" s="16" t="str">
        <f t="array" ref="AD4">INDEX('metricas_redações_diplomatas'!$C:$C, MATCH(LARGE('metricas_redações_diplomatas'!D$41:D$79, 2),'metricas_redações_diplomatas'!D:D, 0))</f>
        <v>gpt4o_temp03</v>
      </c>
      <c r="AE4" s="16" t="str">
        <f t="array" ref="AE4">INDEX('metricas_redações_diplomatas'!$C:$C, MATCH(LARGE('metricas_redações_diplomatas'!E$41:E$79, 2),'metricas_redações_diplomatas'!E:E, 0))</f>
        <v>sabia3_temp03</v>
      </c>
      <c r="AF4" s="16" t="str">
        <f t="array" ref="AF4">INDEX('metricas_redações_diplomatas'!$C:$C, MATCH(LARGE('metricas_redações_diplomatas'!F$41:F$79, 2),'metricas_redações_diplomatas'!F:F, 0))</f>
        <v>gpt4o_temp05</v>
      </c>
      <c r="AG4" s="16" t="str">
        <f t="array" ref="AG4">INDEX('metricas_redações_diplomatas'!$C:$C, MATCH(LARGE('metricas_redações_diplomatas'!G$41:G$79, 2),'metricas_redações_diplomatas'!G:G, 0))</f>
        <v>gpt4o_temp05</v>
      </c>
      <c r="AH4" s="16" t="str">
        <f t="array" ref="AH4">INDEX('metricas_redações_diplomatas'!$C:$C, MATCH(LARGE('metricas_redações_diplomatas'!H$41:H$79, 2),'metricas_redações_diplomatas'!H:H, 0))</f>
        <v>gpt4o_temp03</v>
      </c>
      <c r="AI4" s="16" t="str">
        <f t="array" ref="AI4">INDEX('metricas_redações_diplomatas'!$C:$C, MATCH(LARGE('metricas_redações_diplomatas'!I$41:I$79, 2),'metricas_redações_diplomatas'!I:I, 0))</f>
        <v>gpt4o_temp05</v>
      </c>
      <c r="AJ4" s="16" t="str">
        <f t="array" ref="AJ4">INDEX('metricas_redações_diplomatas'!$C:$C, MATCH(LARGE('metricas_redações_diplomatas'!J$41:J$79, 2),'metricas_redações_diplomatas'!J:J, 0))</f>
        <v>llama_8b_temp03</v>
      </c>
      <c r="AK4" s="16" t="str">
        <f t="array" ref="AK4">INDEX('metricas_redações_diplomatas'!$C:$C, MATCH(LARGE('metricas_redações_diplomatas'!K$41:K$79, 2),'metricas_redações_diplomatas'!K:K, 0))</f>
        <v>command_r_plus_08_2024_temp05</v>
      </c>
      <c r="AL4" s="16" t="str">
        <f t="array" ref="AL4">INDEX('metricas_redações_diplomatas'!$C:$C, MATCH(LARGE('metricas_redações_diplomatas'!L$41:L$79, 2),'metricas_redações_diplomatas'!L:L, 0))</f>
        <v>phi_3_mini_temp03</v>
      </c>
      <c r="AM4" s="16" t="str">
        <f t="array" ref="AM4">INDEX('metricas_redações_diplomatas'!$C:$C, MATCH(LARGE('metricas_redações_diplomatas'!M$41:M$79, 2),'metricas_redações_diplomatas'!M:M, 0))</f>
        <v>phi_3_mini_temp03</v>
      </c>
      <c r="AN4" s="16" t="str">
        <f t="array" ref="AN4">INDEX('metricas_redações_diplomatas'!$C:$C, MATCH(LARGE('metricas_redações_diplomatas'!N$41:N$79, 2),'metricas_redações_diplomatas'!N:N, 0))</f>
        <v>gpt4o_temp03</v>
      </c>
      <c r="AO4" s="16" t="str">
        <f t="array" ref="AO4">INDEX('metricas_redações_diplomatas'!$C:$C, MATCH(LARGE('metricas_redações_diplomatas'!O$41:O$79, 2),'metricas_redações_diplomatas'!O:O, 0))</f>
        <v>phi_3_mini_temp03</v>
      </c>
      <c r="AQ4" s="15" t="s">
        <v>96</v>
      </c>
      <c r="AR4" s="16" t="str">
        <f t="array" ref="AR4">INDEX('metricas_redações_diplomatas'!$C:$C, MATCH(LARGE('metricas_redações_diplomatas'!D$80:D$118, 2),'metricas_redações_diplomatas'!D:D, 0))</f>
        <v>gpt4o_temp03</v>
      </c>
      <c r="AS4" s="16" t="str">
        <f t="array" ref="AS4">INDEX('metricas_redações_diplomatas'!$C:$C, MATCH(LARGE('metricas_redações_diplomatas'!E$80:E$118, 2),'metricas_redações_diplomatas'!E:E, 0))</f>
        <v>gemma_9b_temp05</v>
      </c>
      <c r="AT4" s="16" t="str">
        <f t="array" ref="AT4">INDEX('metricas_redações_diplomatas'!$C:$C, MATCH(LARGE('metricas_redações_diplomatas'!F$80:F$118, 2),'metricas_redações_diplomatas'!F:F, 0))</f>
        <v>sabia3_temp07</v>
      </c>
      <c r="AU4" s="16" t="str">
        <f t="array" ref="AU4">INDEX('metricas_redações_diplomatas'!$C:$C, MATCH(LARGE('metricas_redações_diplomatas'!G$80:G$118, 2),'metricas_redações_diplomatas'!G:G, 0))</f>
        <v>sabia3_temp07</v>
      </c>
      <c r="AV4" s="16" t="str">
        <f t="array" ref="AV4">INDEX('metricas_redações_diplomatas'!$C:$C, MATCH(LARGE('metricas_redações_diplomatas'!H$80:H$118, 2),'metricas_redações_diplomatas'!H:H, 0))</f>
        <v>sabia3_temp07</v>
      </c>
      <c r="AW4" s="16" t="str">
        <f t="array" ref="AW4">INDEX('metricas_redações_diplomatas'!$C:$C, MATCH(LARGE('metricas_redações_diplomatas'!I$80:I$118, 2),'metricas_redações_diplomatas'!I:I, 0))</f>
        <v>gpt4o_temp07</v>
      </c>
      <c r="AX4" s="16" t="str">
        <f t="array" ref="AX4">INDEX('metricas_redações_diplomatas'!$C:$C, MATCH(LARGE('metricas_redações_diplomatas'!J$80:J$118, 2),'metricas_redações_diplomatas'!J:J, 0))</f>
        <v>gemma_9b_temp03</v>
      </c>
      <c r="AY4" s="16" t="str">
        <f t="array" ref="AY4">INDEX('metricas_redações_diplomatas'!$C:$C, MATCH(LARGE('metricas_redações_diplomatas'!K$80:K$118, 2),'metricas_redações_diplomatas'!K:K, 0))</f>
        <v>gpt4o_temp03</v>
      </c>
      <c r="AZ4" s="16" t="str">
        <f t="array" ref="AZ4">INDEX('metricas_redações_diplomatas'!$C:$C, MATCH(LARGE('metricas_redações_diplomatas'!L$80:L$118, 2),'metricas_redações_diplomatas'!L:L, 0))</f>
        <v>phi_3_mini_temp03</v>
      </c>
      <c r="BA4" s="16" t="str">
        <f t="array" ref="BA4">INDEX('metricas_redações_diplomatas'!$C:$C, MATCH(LARGE('metricas_redações_diplomatas'!M$80:M$118, 2),'metricas_redações_diplomatas'!M:M, 0))</f>
        <v>phi_3_mini_temp03</v>
      </c>
      <c r="BB4" s="16" t="str">
        <f t="array" ref="BB4">INDEX('metricas_redações_diplomatas'!$C:$C, MATCH(LARGE('metricas_redações_diplomatas'!N$80:N$118, 2),'metricas_redações_diplomatas'!N:N, 0))</f>
        <v>gpt4o_temp03</v>
      </c>
      <c r="BC4" s="16" t="str">
        <f t="array" ref="BC4">INDEX('metricas_redações_diplomatas'!$C:$C, MATCH(LARGE('metricas_redações_diplomatas'!O$80:O$118, 2),'metricas_redações_diplomatas'!O:O, 0))</f>
        <v>gpt4o_temp03</v>
      </c>
      <c r="BE4" s="15" t="s">
        <v>96</v>
      </c>
      <c r="BF4" s="16" t="str">
        <f t="array" ref="BF4">INDEX('metricas_redações_diplomatas'!$C:$C, MATCH(LARGE('metricas_redações_diplomatas'!D$119:D$157, 2),'metricas_redações_diplomatas'!D:D, 0))</f>
        <v>llama_405b_temp07</v>
      </c>
      <c r="BG4" s="16" t="str">
        <f t="array" ref="BG4">INDEX('metricas_redações_diplomatas'!$C:$C, MATCH(LARGE('metricas_redações_diplomatas'!E$119:E$157, 2),'metricas_redações_diplomatas'!E:E, 0))</f>
        <v>llama_405b_temp07</v>
      </c>
      <c r="BH4" s="16" t="str">
        <f t="array" ref="BH4">INDEX('metricas_redações_diplomatas'!$C:$C, MATCH(LARGE('metricas_redações_diplomatas'!F$119:F$157, 2),'metricas_redações_diplomatas'!F:F, 0))</f>
        <v>gpt4o_temp03</v>
      </c>
      <c r="BI4" s="16" t="str">
        <f t="array" ref="BI4">INDEX('metricas_redações_diplomatas'!$C:$C, MATCH(LARGE('metricas_redações_diplomatas'!G$119:G$157, 2),'metricas_redações_diplomatas'!G:G, 0))</f>
        <v>mixtral_8x22b_temp07</v>
      </c>
      <c r="BJ4" s="16" t="str">
        <f t="array" ref="BJ4">INDEX('metricas_redações_diplomatas'!$C:$C, MATCH(LARGE('metricas_redações_diplomatas'!H$119:H$157, 2),'metricas_redações_diplomatas'!H:H, 0))</f>
        <v>gemma_9b_temp05</v>
      </c>
      <c r="BK4" s="16" t="str">
        <f t="array" ref="BK4">INDEX('metricas_redações_diplomatas'!$C:$C, MATCH(LARGE('metricas_redações_diplomatas'!I$119:I$157, 2),'metricas_redações_diplomatas'!I:I, 0))</f>
        <v>llama_405b_temp05</v>
      </c>
      <c r="BL4" s="16" t="str">
        <f t="array" ref="BL4">INDEX('metricas_redações_diplomatas'!$C:$C, MATCH(LARGE('metricas_redações_diplomatas'!J$119:J$157, 2),'metricas_redações_diplomatas'!J:J, 0))</f>
        <v>gemma_9b_temp05</v>
      </c>
      <c r="BM4" s="16" t="str">
        <f t="array" ref="BM4">INDEX('metricas_redações_diplomatas'!$C:$C, MATCH(LARGE('metricas_redações_diplomatas'!K$119:K$157, 2),'metricas_redações_diplomatas'!K:K, 0))</f>
        <v>sabia3_temp05</v>
      </c>
      <c r="BN4" s="16" t="str">
        <f t="array" ref="BN4">INDEX('metricas_redações_diplomatas'!$C:$C, MATCH(LARGE('metricas_redações_diplomatas'!L$119:L$157, 2),'metricas_redações_diplomatas'!L:L, 0))</f>
        <v>phi_3_mini_temp03</v>
      </c>
      <c r="BO4" s="16" t="str">
        <f t="array" ref="BO4">INDEX('metricas_redações_diplomatas'!$C:$C, MATCH(LARGE('metricas_redações_diplomatas'!M$119:M$157, 2),'metricas_redações_diplomatas'!M:M, 0))</f>
        <v>phi_3_mini_temp03</v>
      </c>
      <c r="BP4" s="16" t="str">
        <f t="array" ref="BP4">INDEX('metricas_redações_diplomatas'!$C:$C, MATCH(LARGE('metricas_redações_diplomatas'!N$119:N$157, 2),'metricas_redações_diplomatas'!N:N, 0))</f>
        <v>gpt4o_temp03</v>
      </c>
      <c r="BQ4" s="16" t="str">
        <f t="array" ref="BQ4">INDEX('metricas_redações_diplomatas'!$C:$C, MATCH(LARGE('metricas_redações_diplomatas'!O$119:O$157, 2),'metricas_redações_diplomatas'!O:O, 0))</f>
        <v>gpt4o_temp03</v>
      </c>
      <c r="BS4" s="15" t="s">
        <v>96</v>
      </c>
      <c r="BT4" s="16" t="str">
        <f t="array" ref="BT4">INDEX('metricas_redações_diplomatas'!$C:$C, MATCH(LARGE('metricas_redações_diplomatas'!D$158:D$196, 2),'metricas_redações_diplomatas'!D:D, 0))</f>
        <v>sabia3_temp07</v>
      </c>
      <c r="BU4" s="16" t="str">
        <f t="array" ref="BU4">INDEX('metricas_redações_diplomatas'!$C:$C, MATCH(LARGE('metricas_redações_diplomatas'!E$158:E$196, 2),'metricas_redações_diplomatas'!E:E, 0))</f>
        <v>qwen2_72b_temp03</v>
      </c>
      <c r="BV4" s="16" t="str">
        <f t="array" ref="BV4">INDEX('metricas_redações_diplomatas'!$C:$C, MATCH(LARGE('metricas_redações_diplomatas'!F$158:F$196, 2),'metricas_redações_diplomatas'!F:F, 0))</f>
        <v>sabia3_temp03</v>
      </c>
      <c r="BW4" s="16" t="str">
        <f t="array" ref="BW4">INDEX('metricas_redações_diplomatas'!$C:$C, MATCH(LARGE('metricas_redações_diplomatas'!G$158:G$196, 2),'metricas_redações_diplomatas'!G:G, 0))</f>
        <v>sabia3_temp05</v>
      </c>
      <c r="BX4" s="16" t="str">
        <f t="array" ref="BX4">INDEX('metricas_redações_diplomatas'!$C:$C, MATCH(LARGE('metricas_redações_diplomatas'!H$158:H$196, 2),'metricas_redações_diplomatas'!H:H, 0))</f>
        <v>sabia3_temp03</v>
      </c>
      <c r="BY4" s="16" t="str">
        <f t="array" ref="BY4">INDEX('metricas_redações_diplomatas'!$C:$C, MATCH(LARGE('metricas_redações_diplomatas'!I$158:I$196, 2),'metricas_redações_diplomatas'!I:I, 0))</f>
        <v>llama_405b_temp05</v>
      </c>
      <c r="BZ4" s="16" t="str">
        <f t="array" ref="BZ4">INDEX('metricas_redações_diplomatas'!$C:$C, MATCH(LARGE('metricas_redações_diplomatas'!J$158:J$196, 2),'metricas_redações_diplomatas'!J:J, 0))</f>
        <v>gemma_9b_temp05</v>
      </c>
      <c r="CA4" s="16" t="str">
        <f t="array" ref="CA4">INDEX('metricas_redações_diplomatas'!$C:$C, MATCH(LARGE('metricas_redações_diplomatas'!K$158:K$196, 2),'metricas_redações_diplomatas'!K:K, 0))</f>
        <v>command_r_plus_08_2024_temp05</v>
      </c>
      <c r="CB4" s="16" t="str">
        <f t="array" ref="CB4">INDEX('metricas_redações_diplomatas'!$C:$C, MATCH(LARGE('metricas_redações_diplomatas'!L$158:L$196, 2),'metricas_redações_diplomatas'!L:L, 0))</f>
        <v>phi_3_mini_temp03</v>
      </c>
      <c r="CC4" s="16" t="str">
        <f t="array" ref="CC4">INDEX('metricas_redações_diplomatas'!$C:$C, MATCH(LARGE('metricas_redações_diplomatas'!M$158:M$196, 2),'metricas_redações_diplomatas'!M:M, 0))</f>
        <v>phi_3_mini_temp03</v>
      </c>
      <c r="CD4" s="16" t="str">
        <f t="array" ref="CD4">INDEX('metricas_redações_diplomatas'!$C:$C, MATCH(LARGE('metricas_redações_diplomatas'!N$158:N$196, 2),'metricas_redações_diplomatas'!N:N, 0))</f>
        <v>gpt4o_temp03</v>
      </c>
      <c r="CE4" s="16" t="str">
        <f t="array" ref="CE4">INDEX('metricas_redações_diplomatas'!$C:$C, MATCH(LARGE('metricas_redações_diplomatas'!O$158:O$196, 2),'metricas_redações_diplomatas'!O:O, 0))</f>
        <v>gpt4o_temp03</v>
      </c>
      <c r="CG4" s="15" t="s">
        <v>96</v>
      </c>
      <c r="CH4" s="16" t="str">
        <f t="array" ref="CH4">INDEX('metricas_redações_diplomatas'!$C:$C, MATCH(LARGE('metricas_redações_diplomatas'!D$197:D$235, 2),'metricas_redações_diplomatas'!D:D, 0))</f>
        <v>command_r_plus_08_2024_temp07</v>
      </c>
      <c r="CI4" s="16" t="str">
        <f t="array" ref="CI4">INDEX('metricas_redações_diplomatas'!$C:$C, MATCH(LARGE('metricas_redações_diplomatas'!E$197:E$235, 2),'metricas_redações_diplomatas'!E:E, 0))</f>
        <v>llama_405b_temp07</v>
      </c>
      <c r="CJ4" s="16" t="str">
        <f t="array" ref="CJ4">INDEX('metricas_redações_diplomatas'!$C:$C, MATCH(LARGE('metricas_redações_diplomatas'!F$197:F$235, 2),'metricas_redações_diplomatas'!F:F, 0))</f>
        <v>sabia3_temp03</v>
      </c>
      <c r="CK4" s="16" t="str">
        <f t="array" ref="CK4">INDEX('metricas_redações_diplomatas'!$C:$C, MATCH(LARGE('metricas_redações_diplomatas'!G$197:G$235, 2),'metricas_redações_diplomatas'!G:G, 0))</f>
        <v>gpt4o_temp07</v>
      </c>
      <c r="CL4" s="16" t="str">
        <f t="array" ref="CL4">INDEX('metricas_redações_diplomatas'!$C:$C, MATCH(LARGE('metricas_redações_diplomatas'!H$197:H$235, 2),'metricas_redações_diplomatas'!H:H, 0))</f>
        <v>sabia3_temp05</v>
      </c>
      <c r="CM4" s="16" t="str">
        <f t="array" ref="CM4">INDEX('metricas_redações_diplomatas'!$C:$C, MATCH(LARGE('metricas_redações_diplomatas'!I$197:I$235, 2),'metricas_redações_diplomatas'!I:I, 0))</f>
        <v>sabia3_temp07</v>
      </c>
      <c r="CN4" s="16" t="str">
        <f t="array" ref="CN4">INDEX('metricas_redações_diplomatas'!$C:$C, MATCH(LARGE('metricas_redações_diplomatas'!J$197:J$235, 2),'metricas_redações_diplomatas'!J:J, 0))</f>
        <v>gemma_9b_temp05</v>
      </c>
      <c r="CO4" s="16" t="str">
        <f t="array" ref="CO4">INDEX('metricas_redações_diplomatas'!$C:$C, MATCH(LARGE('metricas_redações_diplomatas'!K$197:K$235, 2),'metricas_redações_diplomatas'!K:K, 0))</f>
        <v>sabia3_temp07</v>
      </c>
      <c r="CP4" s="16" t="str">
        <f t="array" ref="CP4">INDEX('metricas_redações_diplomatas'!$C:$C, MATCH(LARGE('metricas_redações_diplomatas'!L$197:L$235, 2),'metricas_redações_diplomatas'!L:L, 0))</f>
        <v>phi_3_mini_temp03</v>
      </c>
      <c r="CQ4" s="16" t="str">
        <f t="array" ref="CQ4">INDEX('metricas_redações_diplomatas'!$C:$C, MATCH(LARGE('metricas_redações_diplomatas'!M$197:M$235, 2),'metricas_redações_diplomatas'!M:M, 0))</f>
        <v>phi_3_mini_temp03</v>
      </c>
      <c r="CR4" s="16" t="str">
        <f t="array" ref="CR4">INDEX('metricas_redações_diplomatas'!$C:$C, MATCH(LARGE('metricas_redações_diplomatas'!N$197:N$235, 2),'metricas_redações_diplomatas'!N:N, 0))</f>
        <v>gpt4o_temp03</v>
      </c>
      <c r="CS4" s="16" t="str">
        <f t="array" ref="CS4">INDEX('metricas_redações_diplomatas'!$C:$C, MATCH(LARGE('metricas_redações_diplomatas'!O$197:O$235, 2),'metricas_redações_diplomatas'!O:O, 0))</f>
        <v>gpt4o_temp03</v>
      </c>
    </row>
    <row r="5">
      <c r="A5" s="15" t="s">
        <v>97</v>
      </c>
      <c r="B5" s="16" t="str">
        <f t="array" ref="B5">INDEX('metricas_redações_diplomatas'!$C:$C, MATCH(LARGE('metricas_redações_diplomatas'!D:D, 3),'metricas_redações_diplomatas'!D:D, 0))</f>
        <v>sabia3_temp05</v>
      </c>
      <c r="C5" s="16" t="str">
        <f t="array" ref="C5">INDEX('metricas_redações_diplomatas'!$C:$C, MATCH(LARGE('metricas_redações_diplomatas'!E:E, 3),'metricas_redações_diplomatas'!E:E, 0))</f>
        <v>sabia3_temp03</v>
      </c>
      <c r="D5" s="16" t="str">
        <f t="array" ref="D5">INDEX('metricas_redações_diplomatas'!$C:$C, MATCH(LARGE('metricas_redações_diplomatas'!F:F, 3),'metricas_redações_diplomatas'!F:F, 0))</f>
        <v>sabia3_temp05</v>
      </c>
      <c r="E5" s="16" t="str">
        <f t="array" ref="E5">INDEX('metricas_redações_diplomatas'!$C:$C, MATCH(LARGE('metricas_redações_diplomatas'!G:G, 3),'metricas_redações_diplomatas'!G:G, 0))</f>
        <v>gemma_9b_temp05</v>
      </c>
      <c r="F5" s="16" t="str">
        <f t="array" ref="F5">INDEX('metricas_redações_diplomatas'!$C:$C, MATCH(LARGE('metricas_redações_diplomatas'!H:H, 3),'metricas_redações_diplomatas'!H:H, 0))</f>
        <v>command_r_plus_08_2024_temp05</v>
      </c>
      <c r="G5" s="16" t="str">
        <f t="array" ref="G5">INDEX('metricas_redações_diplomatas'!$C:$C, MATCH(LARGE('metricas_redações_diplomatas'!I:I, 3),'metricas_redações_diplomatas'!I:I, 0))</f>
        <v>gpt4o_temp03</v>
      </c>
      <c r="H5" s="16" t="str">
        <f t="array" ref="H5">INDEX('metricas_redações_diplomatas'!$C:$C, MATCH(LARGE('metricas_redações_diplomatas'!J:J, 3),'metricas_redações_diplomatas'!J:J, 0))</f>
        <v>gemma_9b_temp07</v>
      </c>
      <c r="I5" s="16" t="str">
        <f t="array" ref="I5">INDEX('metricas_redações_diplomatas'!$C:$C, MATCH(LARGE('metricas_redações_diplomatas'!K:K, 3),'metricas_redações_diplomatas'!K:K, 0))</f>
        <v>command_r_plus_08_2024_temp05</v>
      </c>
      <c r="J5" s="16" t="str">
        <f t="array" ref="J5">INDEX('metricas_redações_diplomatas'!$C:$C, MATCH(LARGE('metricas_redações_diplomatas'!L:L, 3),'metricas_redações_diplomatas'!L:L, 0))</f>
        <v>phi_3_mini_temp07</v>
      </c>
      <c r="K5" s="16" t="str">
        <f t="array" ref="K5">INDEX('metricas_redações_diplomatas'!$C:$C, MATCH(LARGE('metricas_redações_diplomatas'!M:M, 3),'metricas_redações_diplomatas'!M:M, 0))</f>
        <v>phi_3_mini_temp07</v>
      </c>
      <c r="L5" s="16" t="str">
        <f t="array" ref="L5">INDEX('metricas_redações_diplomatas'!$C:$C, MATCH(LARGE('metricas_redações_diplomatas'!N:N, 3),'metricas_redações_diplomatas'!N:N, 0))</f>
        <v>gpt4o_temp03</v>
      </c>
      <c r="M5" s="16" t="str">
        <f t="array" ref="M5">INDEX('metricas_redações_diplomatas'!$C:$C, MATCH(LARGE('metricas_redações_diplomatas'!O:O, 3),'metricas_redações_diplomatas'!O:O, 0))</f>
        <v>gpt4o_temp03</v>
      </c>
      <c r="O5" s="15" t="s">
        <v>97</v>
      </c>
      <c r="P5" s="16" t="str">
        <f t="array" ref="P5">INDEX('metricas_redações_diplomatas'!$C:$C, MATCH(LARGE('metricas_redações_diplomatas'!D2:D40, 3),'metricas_redações_diplomatas'!D:D, 0))</f>
        <v>gpt4o_temp07</v>
      </c>
      <c r="Q5" s="16" t="str">
        <f t="array" ref="Q5">INDEX('metricas_redações_diplomatas'!$C:$C, MATCH(LARGE('metricas_redações_diplomatas'!E2:E40, 3),'metricas_redações_diplomatas'!E:E, 0))</f>
        <v>gemma_9b_temp07</v>
      </c>
      <c r="R5" s="16" t="str">
        <f t="array" ref="R5">INDEX('metricas_redações_diplomatas'!$C:$C, MATCH(LARGE('metricas_redações_diplomatas'!F2:F40, 3),'metricas_redações_diplomatas'!F:F, 0))</f>
        <v>gpt4o_temp05</v>
      </c>
      <c r="S5" s="16" t="str">
        <f t="array" ref="S5">INDEX('metricas_redações_diplomatas'!$C:$C, MATCH(LARGE('metricas_redações_diplomatas'!G2:G40, 3),'metricas_redações_diplomatas'!G:G, 0))</f>
        <v>gemma_9b_temp07</v>
      </c>
      <c r="T5" s="16" t="str">
        <f t="array" ref="T5">INDEX('metricas_redações_diplomatas'!$C:$C, MATCH(LARGE('metricas_redações_diplomatas'!H2:H40, 3),'metricas_redações_diplomatas'!H:H, 0))</f>
        <v>gpt4o_temp05</v>
      </c>
      <c r="U5" s="16" t="str">
        <f t="array" ref="U5">INDEX('metricas_redações_diplomatas'!$C:$C, MATCH(LARGE('metricas_redações_diplomatas'!I2:I40, 3),'metricas_redações_diplomatas'!I:I, 0))</f>
        <v>gpt4o_temp07</v>
      </c>
      <c r="V5" s="16" t="str">
        <f t="array" ref="V5">INDEX('metricas_redações_diplomatas'!$C:$C, MATCH(LARGE('metricas_redações_diplomatas'!J2:J40, 3),'metricas_redações_diplomatas'!J:J, 0))</f>
        <v>command_r_plus_08_2024_temp05</v>
      </c>
      <c r="W5" s="16" t="str">
        <f t="array" ref="W5">INDEX('metricas_redações_diplomatas'!$C:$C, MATCH(LARGE('metricas_redações_diplomatas'!K2:K40, 3),'metricas_redações_diplomatas'!K:K, 0))</f>
        <v>command_r_plus_08_2024_temp03</v>
      </c>
      <c r="X5" s="16" t="str">
        <f t="array" ref="X5">INDEX('metricas_redações_diplomatas'!$C:$C, MATCH(LARGE('metricas_redações_diplomatas'!L2:L40, 3),'metricas_redações_diplomatas'!L:L, 0))</f>
        <v>phi_3_mini_temp03</v>
      </c>
      <c r="Y5" s="16" t="str">
        <f t="array" ref="Y5">INDEX('metricas_redações_diplomatas'!$C:$C, MATCH(LARGE('metricas_redações_diplomatas'!M2:M40, 3),'metricas_redações_diplomatas'!M:M, 0))</f>
        <v>phi_3_mini_temp03</v>
      </c>
      <c r="Z5" s="16" t="str">
        <f t="array" ref="Z5">INDEX('metricas_redações_diplomatas'!$C:$C, MATCH(LARGE('metricas_redações_diplomatas'!N2:N40, 3),'metricas_redações_diplomatas'!N:N, 0))</f>
        <v>gpt4o_temp03</v>
      </c>
      <c r="AA5" s="16" t="str">
        <f t="array" ref="AA5">INDEX('metricas_redações_diplomatas'!$C:$C, MATCH(LARGE('metricas_redações_diplomatas'!O2:O40, 3),'metricas_redações_diplomatas'!O:O, 0))</f>
        <v>qwen2_7b_temp03</v>
      </c>
      <c r="AC5" s="15" t="s">
        <v>97</v>
      </c>
      <c r="AD5" s="16" t="str">
        <f t="array" ref="AD5">INDEX('metricas_redações_diplomatas'!$C:$C, MATCH(LARGE('metricas_redações_diplomatas'!D$41:D$79, 3),'metricas_redações_diplomatas'!D:D, 0))</f>
        <v>command_r_plus_08_2024_temp05</v>
      </c>
      <c r="AE5" s="16" t="str">
        <f t="array" ref="AE5">INDEX('metricas_redações_diplomatas'!$C:$C, MATCH(LARGE('metricas_redações_diplomatas'!E$41:E$79, 3),'metricas_redações_diplomatas'!E:E, 0))</f>
        <v>mixtral_8x22b_temp07</v>
      </c>
      <c r="AF5" s="16" t="str">
        <f t="array" ref="AF5">INDEX('metricas_redações_diplomatas'!$C:$C, MATCH(LARGE('metricas_redações_diplomatas'!F$41:F$79, 3),'metricas_redações_diplomatas'!F:F, 0))</f>
        <v>sabia3_temp07</v>
      </c>
      <c r="AG5" s="16" t="str">
        <f t="array" ref="AG5">INDEX('metricas_redações_diplomatas'!$C:$C, MATCH(LARGE('metricas_redações_diplomatas'!G$41:G$79, 3),'metricas_redações_diplomatas'!G:G, 0))</f>
        <v>sabia3_temp07</v>
      </c>
      <c r="AH5" s="16" t="str">
        <f t="array" ref="AH5">INDEX('metricas_redações_diplomatas'!$C:$C, MATCH(LARGE('metricas_redações_diplomatas'!H$41:H$79, 3),'metricas_redações_diplomatas'!H:H, 0))</f>
        <v>gpt4o_temp05</v>
      </c>
      <c r="AI5" s="16" t="str">
        <f t="array" ref="AI5">INDEX('metricas_redações_diplomatas'!$C:$C, MATCH(LARGE('metricas_redações_diplomatas'!I$41:I$79, 3),'metricas_redações_diplomatas'!I:I, 0))</f>
        <v>sabia3_temp07</v>
      </c>
      <c r="AJ5" s="16" t="str">
        <f t="array" ref="AJ5">INDEX('metricas_redações_diplomatas'!$C:$C, MATCH(LARGE('metricas_redações_diplomatas'!J$41:J$79, 3),'metricas_redações_diplomatas'!J:J, 0))</f>
        <v>gemma_9b_temp05</v>
      </c>
      <c r="AK5" s="16" t="str">
        <f t="array" ref="AK5">INDEX('metricas_redações_diplomatas'!$C:$C, MATCH(LARGE('metricas_redações_diplomatas'!K$41:K$79, 3),'metricas_redações_diplomatas'!K:K, 0))</f>
        <v>sabia3_temp07</v>
      </c>
      <c r="AL5" s="16" t="str">
        <f t="array" ref="AL5">INDEX('metricas_redações_diplomatas'!$C:$C, MATCH(LARGE('metricas_redações_diplomatas'!L$41:L$79, 3),'metricas_redações_diplomatas'!L:L, 0))</f>
        <v>phi_3_mini_temp03</v>
      </c>
      <c r="AM5" s="16" t="str">
        <f t="array" ref="AM5">INDEX('metricas_redações_diplomatas'!$C:$C, MATCH(LARGE('metricas_redações_diplomatas'!M$41:M$79, 3),'metricas_redações_diplomatas'!M:M, 0))</f>
        <v>phi_3_mini_temp07</v>
      </c>
      <c r="AN5" s="16" t="str">
        <f t="array" ref="AN5">INDEX('metricas_redações_diplomatas'!$C:$C, MATCH(LARGE('metricas_redações_diplomatas'!N$41:N$79, 3),'metricas_redações_diplomatas'!N:N, 0))</f>
        <v>gpt4o_temp03</v>
      </c>
      <c r="AO5" s="16" t="str">
        <f t="array" ref="AO5">INDEX('metricas_redações_diplomatas'!$C:$C, MATCH(LARGE('metricas_redações_diplomatas'!O$41:O$79, 3),'metricas_redações_diplomatas'!O:O, 0))</f>
        <v>qwen2_7b_temp03</v>
      </c>
      <c r="AQ5" s="15" t="s">
        <v>97</v>
      </c>
      <c r="AR5" s="16" t="str">
        <f t="array" ref="AR5">INDEX('metricas_redações_diplomatas'!$C:$C, MATCH(LARGE('metricas_redações_diplomatas'!D$80:D$118, 3),'metricas_redações_diplomatas'!D:D, 0))</f>
        <v>sabia3_temp05</v>
      </c>
      <c r="AS5" s="16" t="str">
        <f t="array" ref="AS5">INDEX('metricas_redações_diplomatas'!$C:$C, MATCH(LARGE('metricas_redações_diplomatas'!E$80:E$118, 3),'metricas_redações_diplomatas'!E:E, 0))</f>
        <v>sabia3_temp03</v>
      </c>
      <c r="AT5" s="16" t="str">
        <f t="array" ref="AT5">INDEX('metricas_redações_diplomatas'!$C:$C, MATCH(LARGE('metricas_redações_diplomatas'!F$80:F$118, 3),'metricas_redações_diplomatas'!F:F, 0))</f>
        <v>sabia3_temp05</v>
      </c>
      <c r="AU5" s="16" t="str">
        <f t="array" ref="AU5">INDEX('metricas_redações_diplomatas'!$C:$C, MATCH(LARGE('metricas_redações_diplomatas'!G$80:G$118, 3),'metricas_redações_diplomatas'!G:G, 0))</f>
        <v>gemma_9b_temp05</v>
      </c>
      <c r="AV5" s="16" t="str">
        <f t="array" ref="AV5">INDEX('metricas_redações_diplomatas'!$C:$C, MATCH(LARGE('metricas_redações_diplomatas'!H$80:H$118, 3),'metricas_redações_diplomatas'!H:H, 0))</f>
        <v>gpt4o_temp05</v>
      </c>
      <c r="AW5" s="16" t="str">
        <f t="array" ref="AW5">INDEX('metricas_redações_diplomatas'!$C:$C, MATCH(LARGE('metricas_redações_diplomatas'!I$80:I$118, 3),'metricas_redações_diplomatas'!I:I, 0))</f>
        <v>sabia3_temp07</v>
      </c>
      <c r="AX5" s="16" t="str">
        <f t="array" ref="AX5">INDEX('metricas_redações_diplomatas'!$C:$C, MATCH(LARGE('metricas_redações_diplomatas'!J$80:J$118, 3),'metricas_redações_diplomatas'!J:J, 0))</f>
        <v>gemma_9b_temp07</v>
      </c>
      <c r="AY5" s="16" t="str">
        <f t="array" ref="AY5">INDEX('metricas_redações_diplomatas'!$C:$C, MATCH(LARGE('metricas_redações_diplomatas'!K$80:K$118, 3),'metricas_redações_diplomatas'!K:K, 0))</f>
        <v>gpt4o_temp05</v>
      </c>
      <c r="AZ5" s="16" t="str">
        <f t="array" ref="AZ5">INDEX('metricas_redações_diplomatas'!$C:$C, MATCH(LARGE('metricas_redações_diplomatas'!L$80:L$118, 3),'metricas_redações_diplomatas'!L:L, 0))</f>
        <v>phi_3_mini_temp03</v>
      </c>
      <c r="BA5" s="16" t="str">
        <f t="array" ref="BA5">INDEX('metricas_redações_diplomatas'!$C:$C, MATCH(LARGE('metricas_redações_diplomatas'!M$80:M$118, 3),'metricas_redações_diplomatas'!M:M, 0))</f>
        <v>phi_3_mini_temp03</v>
      </c>
      <c r="BB5" s="16" t="str">
        <f t="array" ref="BB5">INDEX('metricas_redações_diplomatas'!$C:$C, MATCH(LARGE('metricas_redações_diplomatas'!N$80:N$118, 3),'metricas_redações_diplomatas'!N:N, 0))</f>
        <v>gpt4o_temp03</v>
      </c>
      <c r="BC5" s="16" t="str">
        <f t="array" ref="BC5">INDEX('metricas_redações_diplomatas'!$C:$C, MATCH(LARGE('metricas_redações_diplomatas'!O$80:O$118, 3),'metricas_redações_diplomatas'!O:O, 0))</f>
        <v>gpt4o_temp03</v>
      </c>
      <c r="BE5" s="15" t="s">
        <v>97</v>
      </c>
      <c r="BF5" s="16" t="str">
        <f t="array" ref="BF5">INDEX('metricas_redações_diplomatas'!$C:$C, MATCH(LARGE('metricas_redações_diplomatas'!D$119:D$157, 3),'metricas_redações_diplomatas'!D:D, 0))</f>
        <v>llama_405b_temp03</v>
      </c>
      <c r="BG5" s="16" t="str">
        <f t="array" ref="BG5">INDEX('metricas_redações_diplomatas'!$C:$C, MATCH(LARGE('metricas_redações_diplomatas'!E$119:E$157, 3),'metricas_redações_diplomatas'!E:E, 0))</f>
        <v>mixtral_8x22b_temp05</v>
      </c>
      <c r="BH5" s="16" t="str">
        <f t="array" ref="BH5">INDEX('metricas_redações_diplomatas'!$C:$C, MATCH(LARGE('metricas_redações_diplomatas'!F$119:F$157, 3),'metricas_redações_diplomatas'!F:F, 0))</f>
        <v>sabia3_temp05</v>
      </c>
      <c r="BI5" s="16" t="str">
        <f t="array" ref="BI5">INDEX('metricas_redações_diplomatas'!$C:$C, MATCH(LARGE('metricas_redações_diplomatas'!G$119:G$157, 3),'metricas_redações_diplomatas'!G:G, 0))</f>
        <v>mixtral_8x22b_temp05</v>
      </c>
      <c r="BJ5" s="16" t="str">
        <f t="array" ref="BJ5">INDEX('metricas_redações_diplomatas'!$C:$C, MATCH(LARGE('metricas_redações_diplomatas'!H$119:H$157, 3),'metricas_redações_diplomatas'!H:H, 0))</f>
        <v>sabia3_temp05</v>
      </c>
      <c r="BK5" s="16" t="str">
        <f t="array" ref="BK5">INDEX('metricas_redações_diplomatas'!$C:$C, MATCH(LARGE('metricas_redações_diplomatas'!I$119:I$157, 3),'metricas_redações_diplomatas'!I:I, 0))</f>
        <v>gpt4o_temp03</v>
      </c>
      <c r="BL5" s="16" t="str">
        <f t="array" ref="BL5">INDEX('metricas_redações_diplomatas'!$C:$C, MATCH(LARGE('metricas_redações_diplomatas'!J$119:J$157, 3),'metricas_redações_diplomatas'!J:J, 0))</f>
        <v>gemma_9b_temp03</v>
      </c>
      <c r="BM5" s="16" t="str">
        <f t="array" ref="BM5">INDEX('metricas_redações_diplomatas'!$C:$C, MATCH(LARGE('metricas_redações_diplomatas'!K$119:K$157, 3),'metricas_redações_diplomatas'!K:K, 0))</f>
        <v>gemma_9b_temp07</v>
      </c>
      <c r="BN5" s="16" t="str">
        <f t="array" ref="BN5">INDEX('metricas_redações_diplomatas'!$C:$C, MATCH(LARGE('metricas_redações_diplomatas'!L$119:L$157, 3),'metricas_redações_diplomatas'!L:L, 0))</f>
        <v>phi_3_mini_temp03</v>
      </c>
      <c r="BO5" s="16" t="str">
        <f t="array" ref="BO5">INDEX('metricas_redações_diplomatas'!$C:$C, MATCH(LARGE('metricas_redações_diplomatas'!M$119:M$157, 3),'metricas_redações_diplomatas'!M:M, 0))</f>
        <v>phi_3_mini_temp03</v>
      </c>
      <c r="BP5" s="16" t="str">
        <f t="array" ref="BP5">INDEX('metricas_redações_diplomatas'!$C:$C, MATCH(LARGE('metricas_redações_diplomatas'!N$119:N$157, 3),'metricas_redações_diplomatas'!N:N, 0))</f>
        <v>gpt4o_temp03</v>
      </c>
      <c r="BQ5" s="16" t="str">
        <f t="array" ref="BQ5">INDEX('metricas_redações_diplomatas'!$C:$C, MATCH(LARGE('metricas_redações_diplomatas'!O$119:O$157, 3),'metricas_redações_diplomatas'!O:O, 0))</f>
        <v>gpt4o_temp03</v>
      </c>
      <c r="BS5" s="15" t="s">
        <v>97</v>
      </c>
      <c r="BT5" s="16" t="str">
        <f t="array" ref="BT5">INDEX('metricas_redações_diplomatas'!$C:$C, MATCH(LARGE('metricas_redações_diplomatas'!D$158:D$196, 3),'metricas_redações_diplomatas'!D:D, 0))</f>
        <v>llama_405b_temp07</v>
      </c>
      <c r="BU5" s="16" t="str">
        <f t="array" ref="BU5">INDEX('metricas_redações_diplomatas'!$C:$C, MATCH(LARGE('metricas_redações_diplomatas'!E$158:E$196, 3),'metricas_redações_diplomatas'!E:E, 0))</f>
        <v>llama_405b_temp05</v>
      </c>
      <c r="BV5" s="16" t="str">
        <f t="array" ref="BV5">INDEX('metricas_redações_diplomatas'!$C:$C, MATCH(LARGE('metricas_redações_diplomatas'!F$158:F$196, 3),'metricas_redações_diplomatas'!F:F, 0))</f>
        <v>sabia3_temp07</v>
      </c>
      <c r="BW5" s="16" t="str">
        <f t="array" ref="BW5">INDEX('metricas_redações_diplomatas'!$C:$C, MATCH(LARGE('metricas_redações_diplomatas'!G$158:G$196, 3),'metricas_redações_diplomatas'!G:G, 0))</f>
        <v>mixtral_8x22b_temp03</v>
      </c>
      <c r="BX5" s="16" t="str">
        <f t="array" ref="BX5">INDEX('metricas_redações_diplomatas'!$C:$C, MATCH(LARGE('metricas_redações_diplomatas'!H$158:H$196, 3),'metricas_redações_diplomatas'!H:H, 0))</f>
        <v>gemma_9b_temp05</v>
      </c>
      <c r="BY5" s="16" t="str">
        <f t="array" ref="BY5">INDEX('metricas_redações_diplomatas'!$C:$C, MATCH(LARGE('metricas_redações_diplomatas'!I$158:I$196, 3),'metricas_redações_diplomatas'!I:I, 0))</f>
        <v>sabia3_temp03</v>
      </c>
      <c r="BZ5" s="16" t="str">
        <f t="array" ref="BZ5">INDEX('metricas_redações_diplomatas'!$C:$C, MATCH(LARGE('metricas_redações_diplomatas'!J$158:J$196, 3),'metricas_redações_diplomatas'!J:J, 0))</f>
        <v>gemma_9b_temp03</v>
      </c>
      <c r="CA5" s="16" t="str">
        <f t="array" ref="CA5">INDEX('metricas_redações_diplomatas'!$C:$C, MATCH(LARGE('metricas_redações_diplomatas'!K$158:K$196, 3),'metricas_redações_diplomatas'!K:K, 0))</f>
        <v>mixtral_8x22b_temp03</v>
      </c>
      <c r="CB5" s="16" t="str">
        <f t="array" ref="CB5">INDEX('metricas_redações_diplomatas'!$C:$C, MATCH(LARGE('metricas_redações_diplomatas'!L$158:L$196, 3),'metricas_redações_diplomatas'!L:L, 0))</f>
        <v>phi_3_mini_temp03</v>
      </c>
      <c r="CC5" s="16" t="str">
        <f t="array" ref="CC5">INDEX('metricas_redações_diplomatas'!$C:$C, MATCH(LARGE('metricas_redações_diplomatas'!M$158:M$196, 3),'metricas_redações_diplomatas'!M:M, 0))</f>
        <v>phi_3_mini_temp03</v>
      </c>
      <c r="CD5" s="16" t="str">
        <f t="array" ref="CD5">INDEX('metricas_redações_diplomatas'!$C:$C, MATCH(LARGE('metricas_redações_diplomatas'!N$158:N$196, 3),'metricas_redações_diplomatas'!N:N, 0))</f>
        <v>gpt4o_temp03</v>
      </c>
      <c r="CE5" s="16" t="str">
        <f t="array" ref="CE5">INDEX('metricas_redações_diplomatas'!$C:$C, MATCH(LARGE('metricas_redações_diplomatas'!O$158:O$196, 3),'metricas_redações_diplomatas'!O:O, 0))</f>
        <v>gpt4o_temp03</v>
      </c>
      <c r="CG5" s="15" t="s">
        <v>97</v>
      </c>
      <c r="CH5" s="16" t="str">
        <f t="array" ref="CH5">INDEX('metricas_redações_diplomatas'!$C:$C, MATCH(LARGE('metricas_redações_diplomatas'!D$197:D$235, 3),'metricas_redações_diplomatas'!D:D, 0))</f>
        <v>gemma_27b_temp03</v>
      </c>
      <c r="CI5" s="16" t="str">
        <f t="array" ref="CI5">INDEX('metricas_redações_diplomatas'!$C:$C, MATCH(LARGE('metricas_redações_diplomatas'!E$197:E$235, 3),'metricas_redações_diplomatas'!E:E, 0))</f>
        <v>mixtral_8x22b_temp03</v>
      </c>
      <c r="CJ5" s="16" t="str">
        <f t="array" ref="CJ5">INDEX('metricas_redações_diplomatas'!$C:$C, MATCH(LARGE('metricas_redações_diplomatas'!F$197:F$235, 3),'metricas_redações_diplomatas'!F:F, 0))</f>
        <v>sabia3_temp05</v>
      </c>
      <c r="CK5" s="16" t="str">
        <f t="array" ref="CK5">INDEX('metricas_redações_diplomatas'!$C:$C, MATCH(LARGE('metricas_redações_diplomatas'!G$197:G$235, 3),'metricas_redações_diplomatas'!G:G, 0))</f>
        <v>sabia3_temp05</v>
      </c>
      <c r="CL5" s="16" t="str">
        <f t="array" ref="CL5">INDEX('metricas_redações_diplomatas'!$C:$C, MATCH(LARGE('metricas_redações_diplomatas'!H$197:H$235, 3),'metricas_redações_diplomatas'!H:H, 0))</f>
        <v>command_r_plus_08_2024_temp05</v>
      </c>
      <c r="CM5" s="16" t="str">
        <f t="array" ref="CM5">INDEX('metricas_redações_diplomatas'!$C:$C, MATCH(LARGE('metricas_redações_diplomatas'!I$197:I$235, 3),'metricas_redações_diplomatas'!I:I, 0))</f>
        <v>gpt4o_temp03</v>
      </c>
      <c r="CN5" s="16" t="str">
        <f t="array" ref="CN5">INDEX('metricas_redações_diplomatas'!$C:$C, MATCH(LARGE('metricas_redações_diplomatas'!J$197:J$235, 3),'metricas_redações_diplomatas'!J:J, 0))</f>
        <v>llama_405b_temp07</v>
      </c>
      <c r="CO5" s="16" t="str">
        <f t="array" ref="CO5">INDEX('metricas_redações_diplomatas'!$C:$C, MATCH(LARGE('metricas_redações_diplomatas'!K$197:K$235, 3),'metricas_redações_diplomatas'!K:K, 0))</f>
        <v>command_r_plus_08_2024_temp05</v>
      </c>
      <c r="CP5" s="16" t="str">
        <f t="array" ref="CP5">INDEX('metricas_redações_diplomatas'!$C:$C, MATCH(LARGE('metricas_redações_diplomatas'!L$197:L$235, 3),'metricas_redações_diplomatas'!L:L, 0))</f>
        <v>phi_3_mini_temp03</v>
      </c>
      <c r="CQ5" s="16" t="str">
        <f t="array" ref="CQ5">INDEX('metricas_redações_diplomatas'!$C:$C, MATCH(LARGE('metricas_redações_diplomatas'!M$197:M$235, 3),'metricas_redações_diplomatas'!M:M, 0))</f>
        <v>phi_3_mini_temp03</v>
      </c>
      <c r="CR5" s="16" t="str">
        <f t="array" ref="CR5">INDEX('metricas_redações_diplomatas'!$C:$C, MATCH(LARGE('metricas_redações_diplomatas'!N$197:N$235, 3),'metricas_redações_diplomatas'!N:N, 0))</f>
        <v>gpt4o_temp03</v>
      </c>
      <c r="CS5" s="16" t="str">
        <f t="array" ref="CS5">INDEX('metricas_redações_diplomatas'!$C:$C, MATCH(LARGE('metricas_redações_diplomatas'!O$197:O$235, 3),'metricas_redações_diplomatas'!O:O, 0))</f>
        <v>gpt4o_temp03</v>
      </c>
    </row>
    <row r="7">
      <c r="B7" s="14" t="s">
        <v>3</v>
      </c>
      <c r="C7" s="14" t="s">
        <v>4</v>
      </c>
      <c r="D7" s="14" t="s">
        <v>5</v>
      </c>
      <c r="E7" s="14" t="s">
        <v>6</v>
      </c>
      <c r="F7" s="14" t="s">
        <v>7</v>
      </c>
      <c r="G7" s="14" t="s">
        <v>8</v>
      </c>
      <c r="H7" s="14" t="s">
        <v>9</v>
      </c>
      <c r="I7" s="14" t="s">
        <v>10</v>
      </c>
      <c r="J7" s="14" t="s">
        <v>11</v>
      </c>
      <c r="K7" s="14" t="s">
        <v>12</v>
      </c>
      <c r="L7" s="14" t="s">
        <v>13</v>
      </c>
      <c r="M7" s="14" t="s">
        <v>14</v>
      </c>
      <c r="P7" s="14" t="s">
        <v>3</v>
      </c>
      <c r="Q7" s="14" t="s">
        <v>4</v>
      </c>
      <c r="R7" s="14" t="s">
        <v>5</v>
      </c>
      <c r="S7" s="14" t="s">
        <v>6</v>
      </c>
      <c r="T7" s="14" t="s">
        <v>7</v>
      </c>
      <c r="U7" s="14" t="s">
        <v>8</v>
      </c>
      <c r="V7" s="14" t="s">
        <v>9</v>
      </c>
      <c r="W7" s="14" t="s">
        <v>10</v>
      </c>
      <c r="X7" s="14" t="s">
        <v>11</v>
      </c>
      <c r="Y7" s="14" t="s">
        <v>12</v>
      </c>
      <c r="Z7" s="14" t="s">
        <v>13</v>
      </c>
      <c r="AA7" s="14" t="s">
        <v>14</v>
      </c>
      <c r="AD7" s="14" t="s">
        <v>3</v>
      </c>
      <c r="AE7" s="14" t="s">
        <v>4</v>
      </c>
      <c r="AF7" s="14" t="s">
        <v>5</v>
      </c>
      <c r="AG7" s="14" t="s">
        <v>6</v>
      </c>
      <c r="AH7" s="14" t="s">
        <v>7</v>
      </c>
      <c r="AI7" s="14" t="s">
        <v>8</v>
      </c>
      <c r="AJ7" s="14" t="s">
        <v>9</v>
      </c>
      <c r="AK7" s="14" t="s">
        <v>10</v>
      </c>
      <c r="AL7" s="14" t="s">
        <v>11</v>
      </c>
      <c r="AM7" s="14" t="s">
        <v>12</v>
      </c>
      <c r="AN7" s="14" t="s">
        <v>13</v>
      </c>
      <c r="AO7" s="14" t="s">
        <v>14</v>
      </c>
      <c r="AR7" s="14" t="s">
        <v>3</v>
      </c>
      <c r="AS7" s="14" t="s">
        <v>4</v>
      </c>
      <c r="AT7" s="14" t="s">
        <v>5</v>
      </c>
      <c r="AU7" s="14" t="s">
        <v>6</v>
      </c>
      <c r="AV7" s="14" t="s">
        <v>7</v>
      </c>
      <c r="AW7" s="14" t="s">
        <v>8</v>
      </c>
      <c r="AX7" s="14" t="s">
        <v>9</v>
      </c>
      <c r="AY7" s="14" t="s">
        <v>10</v>
      </c>
      <c r="AZ7" s="14" t="s">
        <v>11</v>
      </c>
      <c r="BA7" s="14" t="s">
        <v>12</v>
      </c>
      <c r="BB7" s="14" t="s">
        <v>13</v>
      </c>
      <c r="BC7" s="14" t="s">
        <v>14</v>
      </c>
      <c r="BF7" s="14" t="s">
        <v>3</v>
      </c>
      <c r="BG7" s="14" t="s">
        <v>4</v>
      </c>
      <c r="BH7" s="14" t="s">
        <v>5</v>
      </c>
      <c r="BI7" s="14" t="s">
        <v>6</v>
      </c>
      <c r="BJ7" s="14" t="s">
        <v>7</v>
      </c>
      <c r="BK7" s="14" t="s">
        <v>8</v>
      </c>
      <c r="BL7" s="14" t="s">
        <v>9</v>
      </c>
      <c r="BM7" s="14" t="s">
        <v>10</v>
      </c>
      <c r="BN7" s="14" t="s">
        <v>11</v>
      </c>
      <c r="BO7" s="14" t="s">
        <v>12</v>
      </c>
      <c r="BP7" s="14" t="s">
        <v>13</v>
      </c>
      <c r="BQ7" s="14" t="s">
        <v>14</v>
      </c>
      <c r="BT7" s="14" t="s">
        <v>3</v>
      </c>
      <c r="BU7" s="14" t="s">
        <v>4</v>
      </c>
      <c r="BV7" s="14" t="s">
        <v>5</v>
      </c>
      <c r="BW7" s="14" t="s">
        <v>6</v>
      </c>
      <c r="BX7" s="14" t="s">
        <v>7</v>
      </c>
      <c r="BY7" s="14" t="s">
        <v>8</v>
      </c>
      <c r="BZ7" s="14" t="s">
        <v>9</v>
      </c>
      <c r="CA7" s="14" t="s">
        <v>10</v>
      </c>
      <c r="CB7" s="14" t="s">
        <v>11</v>
      </c>
      <c r="CC7" s="14" t="s">
        <v>12</v>
      </c>
      <c r="CD7" s="14" t="s">
        <v>13</v>
      </c>
      <c r="CE7" s="14" t="s">
        <v>14</v>
      </c>
      <c r="CH7" s="14" t="s">
        <v>3</v>
      </c>
      <c r="CI7" s="14" t="s">
        <v>4</v>
      </c>
      <c r="CJ7" s="14" t="s">
        <v>5</v>
      </c>
      <c r="CK7" s="14" t="s">
        <v>6</v>
      </c>
      <c r="CL7" s="14" t="s">
        <v>7</v>
      </c>
      <c r="CM7" s="14" t="s">
        <v>8</v>
      </c>
      <c r="CN7" s="14" t="s">
        <v>9</v>
      </c>
      <c r="CO7" s="14" t="s">
        <v>10</v>
      </c>
      <c r="CP7" s="14" t="s">
        <v>11</v>
      </c>
      <c r="CQ7" s="14" t="s">
        <v>12</v>
      </c>
      <c r="CR7" s="14" t="s">
        <v>13</v>
      </c>
      <c r="CS7" s="14" t="s">
        <v>14</v>
      </c>
    </row>
    <row r="8">
      <c r="A8" s="15" t="s">
        <v>95</v>
      </c>
      <c r="B8" s="17">
        <f>LARGE('metricas_redações_diplomatas'!$D$2:$D$235, 1)</f>
        <v>0.1034958841</v>
      </c>
      <c r="C8" s="17">
        <f>LARGE('metricas_redações_diplomatas'!$E$2:$E$235, 1)</f>
        <v>0.7717890739</v>
      </c>
      <c r="D8" s="17">
        <f>LARGE('metricas_redações_diplomatas'!$F$2:$F$235, 1)</f>
        <v>0.7567667365</v>
      </c>
      <c r="E8" s="17">
        <f>LARGE('metricas_redações_diplomatas'!$G$2:$G$235, 1)</f>
        <v>0.7610205412</v>
      </c>
      <c r="F8" s="17">
        <f>LARGE('metricas_redações_diplomatas'!$H$2:$H$235, 1)</f>
        <v>0.5492451474</v>
      </c>
      <c r="G8" s="17">
        <f>LARGE('metricas_redações_diplomatas'!$I$2:$I$235, 1)</f>
        <v>0.1920731707</v>
      </c>
      <c r="H8" s="17">
        <f>LARGE('metricas_redações_diplomatas'!$J$2:$J$235, 1)</f>
        <v>0.2181322427</v>
      </c>
      <c r="I8" s="17">
        <f>LARGE('metricas_redações_diplomatas'!$K$2:$K$235, 1)</f>
        <v>0.3007417397</v>
      </c>
      <c r="J8" s="17">
        <f>LARGE('metricas_redações_diplomatas'!$L$2:$L$235, 1)</f>
        <v>0.8271334767</v>
      </c>
      <c r="K8" s="17">
        <f>LARGE('metricas_redações_diplomatas'!$M$2:$M$235, 1)</f>
        <v>1</v>
      </c>
      <c r="L8" s="17">
        <f>LARGE('metricas_redações_diplomatas'!$N$2:$N$235, 1)</f>
        <v>0.9999999404</v>
      </c>
      <c r="M8" s="17">
        <f>LARGE('metricas_redações_diplomatas'!$O$2:$O$235, 1)</f>
        <v>1</v>
      </c>
      <c r="O8" s="15" t="s">
        <v>95</v>
      </c>
      <c r="P8" s="17">
        <f>LARGE('metricas_redações_diplomatas'!D2:D40, 1)</f>
        <v>0.09438579174</v>
      </c>
      <c r="Q8" s="17">
        <f>LARGE('metricas_redações_diplomatas'!E2:E40, 1)</f>
        <v>0.7639557123</v>
      </c>
      <c r="R8" s="17">
        <f>LARGE('metricas_redações_diplomatas'!F2:F40, 1)</f>
        <v>0.7525502443</v>
      </c>
      <c r="S8" s="17">
        <f>LARGE('metricas_redações_diplomatas'!G2:G40, 1)</f>
        <v>0.7549893856</v>
      </c>
      <c r="T8" s="17">
        <f>LARGE('metricas_redações_diplomatas'!H2:H40, 1)</f>
        <v>0.5310059715</v>
      </c>
      <c r="U8" s="17">
        <f>LARGE('metricas_redações_diplomatas'!I2:I40, 1)</f>
        <v>0.1784130113</v>
      </c>
      <c r="V8" s="17">
        <f>LARGE('metricas_redações_diplomatas'!J2:J40, 1)</f>
        <v>0.2047043865</v>
      </c>
      <c r="W8" s="17">
        <f>LARGE('metricas_redações_diplomatas'!K2:K40, 1)</f>
        <v>0.2923076923</v>
      </c>
      <c r="X8" s="17">
        <f>LARGE('metricas_redações_diplomatas'!L2:L40, 1)</f>
        <v>0.8271334767</v>
      </c>
      <c r="Y8" s="17">
        <f>LARGE('metricas_redações_diplomatas'!M2:M40, 1)</f>
        <v>1</v>
      </c>
      <c r="Z8" s="17">
        <f>LARGE('metricas_redações_diplomatas'!N2:N40, 1)</f>
        <v>0.9999999404</v>
      </c>
      <c r="AA8" s="17">
        <f>LARGE('metricas_redações_diplomatas'!O2:O40, 1)</f>
        <v>1</v>
      </c>
      <c r="AC8" s="15" t="s">
        <v>95</v>
      </c>
      <c r="AD8" s="17">
        <f>LARGE('metricas_redações_diplomatas'!D$41:D$79, 1)</f>
        <v>0.06266801524</v>
      </c>
      <c r="AE8" s="17">
        <f>LARGE('metricas_redações_diplomatas'!E$41:E$79, 1)</f>
        <v>0.7443844676</v>
      </c>
      <c r="AF8" s="17">
        <f>LARGE('metricas_redações_diplomatas'!F$41:F$79, 1)</f>
        <v>0.7222908139</v>
      </c>
      <c r="AG8" s="17">
        <f>LARGE('metricas_redações_diplomatas'!G$41:G$79, 1)</f>
        <v>0.7326724529</v>
      </c>
      <c r="AH8" s="17">
        <f>LARGE('metricas_redações_diplomatas'!H$41:H$79, 1)</f>
        <v>0.4851851852</v>
      </c>
      <c r="AI8" s="17">
        <f>LARGE('metricas_redações_diplomatas'!I$41:I$79, 1)</f>
        <v>0.1444444444</v>
      </c>
      <c r="AJ8" s="17">
        <f>LARGE('metricas_redações_diplomatas'!J$41:J$79, 1)</f>
        <v>0.2006644518</v>
      </c>
      <c r="AK8" s="17">
        <f>LARGE('metricas_redações_diplomatas'!K$41:K$79, 1)</f>
        <v>0.2776064158</v>
      </c>
      <c r="AL8" s="17">
        <f>LARGE('metricas_redações_diplomatas'!L$41:L$79, 1)</f>
        <v>0.8271334767</v>
      </c>
      <c r="AM8" s="17">
        <f>LARGE('metricas_redações_diplomatas'!M$41:M$79, 1)</f>
        <v>0.6429824233</v>
      </c>
      <c r="AN8" s="17">
        <f>LARGE('metricas_redações_diplomatas'!N$41:N$79, 1)</f>
        <v>0.9999999404</v>
      </c>
      <c r="AO8" s="17">
        <f>LARGE('metricas_redações_diplomatas'!O$41:O$79, 1)</f>
        <v>0.6429824233</v>
      </c>
      <c r="AQ8" s="15" t="s">
        <v>95</v>
      </c>
      <c r="AR8" s="17">
        <f>LARGE('metricas_redações_diplomatas'!D$80:D$118, 1)</f>
        <v>0.1034958841</v>
      </c>
      <c r="AS8" s="17">
        <f>LARGE('metricas_redações_diplomatas'!E$80:E$118, 1)</f>
        <v>0.7717890739</v>
      </c>
      <c r="AT8" s="17">
        <f>LARGE('metricas_redações_diplomatas'!F$80:F$118, 1)</f>
        <v>0.7567667365</v>
      </c>
      <c r="AU8" s="17">
        <f>LARGE('metricas_redações_diplomatas'!G$80:G$118, 1)</f>
        <v>0.7610205412</v>
      </c>
      <c r="AV8" s="17">
        <f>LARGE('metricas_redações_diplomatas'!H$80:H$118, 1)</f>
        <v>0.5287356322</v>
      </c>
      <c r="AW8" s="17">
        <f>LARGE('metricas_redações_diplomatas'!I$80:I$118, 1)</f>
        <v>0.1668393782</v>
      </c>
      <c r="AX8" s="17">
        <f>LARGE('metricas_redações_diplomatas'!J$80:J$118, 1)</f>
        <v>0.2181322427</v>
      </c>
      <c r="AY8" s="17">
        <f>LARGE('metricas_redações_diplomatas'!K$80:K$118, 1)</f>
        <v>0.2937420179</v>
      </c>
      <c r="AZ8" s="17">
        <f>LARGE('metricas_redações_diplomatas'!L$80:L$118, 1)</f>
        <v>0.8271334767</v>
      </c>
      <c r="BA8" s="17">
        <f>LARGE('metricas_redações_diplomatas'!M$80:M$118, 1)</f>
        <v>0.8271334767</v>
      </c>
      <c r="BB8" s="17">
        <f>LARGE('metricas_redações_diplomatas'!N$80:N$118, 1)</f>
        <v>0.9999999404</v>
      </c>
      <c r="BC8" s="17">
        <f>LARGE('metricas_redações_diplomatas'!O$80:O$118, 1)</f>
        <v>0.9999999404</v>
      </c>
      <c r="BE8" s="15" t="s">
        <v>95</v>
      </c>
      <c r="BF8" s="17">
        <f>LARGE('metricas_redações_diplomatas'!D$119:D$157, 1)</f>
        <v>0.06620133375</v>
      </c>
      <c r="BG8" s="17">
        <f>LARGE('metricas_redações_diplomatas'!E$119:E$157, 1)</f>
        <v>0.7512554526</v>
      </c>
      <c r="BH8" s="17">
        <f>LARGE('metricas_redações_diplomatas'!F$119:F$157, 1)</f>
        <v>0.7397989631</v>
      </c>
      <c r="BI8" s="17">
        <f>LARGE('metricas_redações_diplomatas'!G$119:G$157, 1)</f>
        <v>0.7400637269</v>
      </c>
      <c r="BJ8" s="17">
        <f>LARGE('metricas_redações_diplomatas'!H$119:H$157, 1)</f>
        <v>0.48</v>
      </c>
      <c r="BK8" s="17">
        <f>LARGE('metricas_redações_diplomatas'!I$119:I$157, 1)</f>
        <v>0.1290322581</v>
      </c>
      <c r="BL8" s="17">
        <f>LARGE('metricas_redações_diplomatas'!J$119:J$157, 1)</f>
        <v>0.2115830116</v>
      </c>
      <c r="BM8" s="17">
        <f>LARGE('metricas_redações_diplomatas'!K$119:K$157, 1)</f>
        <v>0.279314888</v>
      </c>
      <c r="BN8" s="17">
        <f>LARGE('metricas_redações_diplomatas'!L$119:L$157, 1)</f>
        <v>0.8271334767</v>
      </c>
      <c r="BO8" s="17">
        <f>LARGE('metricas_redações_diplomatas'!M$119:M$157, 1)</f>
        <v>0.8271334767</v>
      </c>
      <c r="BP8" s="17">
        <f>LARGE('metricas_redações_diplomatas'!N$119:N$157, 1)</f>
        <v>0.9999999404</v>
      </c>
      <c r="BQ8" s="17">
        <f>LARGE('metricas_redações_diplomatas'!O$119:O$157, 1)</f>
        <v>0.9999999404</v>
      </c>
      <c r="BS8" s="15" t="s">
        <v>95</v>
      </c>
      <c r="BT8" s="17">
        <f>LARGE('metricas_redações_diplomatas'!D$158:D$196, 1)</f>
        <v>0.08439635495</v>
      </c>
      <c r="BU8" s="17">
        <f>LARGE('metricas_redações_diplomatas'!E$158:E$196, 1)</f>
        <v>0.7527706623</v>
      </c>
      <c r="BV8" s="17">
        <f>LARGE('metricas_redações_diplomatas'!F$158:F$196, 1)</f>
        <v>0.7422122359</v>
      </c>
      <c r="BW8" s="17">
        <f>LARGE('metricas_redações_diplomatas'!G$158:G$196, 1)</f>
        <v>0.7441130877</v>
      </c>
      <c r="BX8" s="17">
        <f>LARGE('metricas_redações_diplomatas'!H$158:H$196, 1)</f>
        <v>0.5168700646</v>
      </c>
      <c r="BY8" s="17">
        <f>LARGE('metricas_redações_diplomatas'!I$158:I$196, 1)</f>
        <v>0.1538461538</v>
      </c>
      <c r="BZ8" s="17">
        <f>LARGE('metricas_redações_diplomatas'!J$158:J$196, 1)</f>
        <v>0.2040816327</v>
      </c>
      <c r="CA8" s="17">
        <f>LARGE('metricas_redações_diplomatas'!K$158:K$196, 1)</f>
        <v>0.2877030162</v>
      </c>
      <c r="CB8" s="17">
        <f>LARGE('metricas_redações_diplomatas'!L$158:L$196, 1)</f>
        <v>0.8271334767</v>
      </c>
      <c r="CC8" s="17">
        <f>LARGE('metricas_redações_diplomatas'!M$158:M$196, 1)</f>
        <v>0.8271334767</v>
      </c>
      <c r="CD8" s="17">
        <f>LARGE('metricas_redações_diplomatas'!N$158:N$196, 1)</f>
        <v>0.9999999404</v>
      </c>
      <c r="CE8" s="17">
        <f>LARGE('metricas_redações_diplomatas'!O$158:O$196, 1)</f>
        <v>0.9999999404</v>
      </c>
      <c r="CG8" s="15" t="s">
        <v>95</v>
      </c>
      <c r="CH8" s="17">
        <f>LARGE('metricas_redações_diplomatas'!D$197:D$235, 1)</f>
        <v>0.08968896311</v>
      </c>
      <c r="CI8" s="17">
        <f>LARGE('metricas_redações_diplomatas'!E$197:E$235, 1)</f>
        <v>0.7569851279</v>
      </c>
      <c r="CJ8" s="17">
        <f>LARGE('metricas_redações_diplomatas'!F$197:F$235, 1)</f>
        <v>0.7358137369</v>
      </c>
      <c r="CK8" s="17">
        <f>LARGE('metricas_redações_diplomatas'!G$197:G$235, 1)</f>
        <v>0.7461588383</v>
      </c>
      <c r="CL8" s="17">
        <f>LARGE('metricas_redações_diplomatas'!H$197:H$235, 1)</f>
        <v>0.5492451474</v>
      </c>
      <c r="CM8" s="17">
        <f>LARGE('metricas_redações_diplomatas'!I$197:I$235, 1)</f>
        <v>0.1920731707</v>
      </c>
      <c r="CN8" s="17">
        <f>LARGE('metricas_redações_diplomatas'!J$197:J$235, 1)</f>
        <v>0.2135642136</v>
      </c>
      <c r="CO8" s="17">
        <f>LARGE('metricas_redações_diplomatas'!K$197:K$235, 1)</f>
        <v>0.3007417397</v>
      </c>
      <c r="CP8" s="17">
        <f>LARGE('metricas_redações_diplomatas'!L$197:L$235, 1)</f>
        <v>0.8271334767</v>
      </c>
      <c r="CQ8" s="17">
        <f>LARGE('metricas_redações_diplomatas'!M$197:M$235, 1)</f>
        <v>0.8271334767</v>
      </c>
      <c r="CR8" s="17">
        <f>LARGE('metricas_redações_diplomatas'!N$197:N$235, 1)</f>
        <v>0.9999999404</v>
      </c>
      <c r="CS8" s="17">
        <f>LARGE('metricas_redações_diplomatas'!O$197:O$235, 1)</f>
        <v>0.9999999404</v>
      </c>
    </row>
    <row r="9">
      <c r="A9" s="15" t="s">
        <v>96</v>
      </c>
      <c r="B9" s="17">
        <f>LARGE('metricas_redações_diplomatas'!$D$2:$D$235, 2)</f>
        <v>0.1019945731</v>
      </c>
      <c r="C9" s="17">
        <f>LARGE('metricas_redações_diplomatas'!$E$2:$E$235, 2)</f>
        <v>0.7661141157</v>
      </c>
      <c r="D9" s="17">
        <f>LARGE('metricas_redações_diplomatas'!$F$2:$F$235, 2)</f>
        <v>0.7532212734</v>
      </c>
      <c r="E9" s="17">
        <f>LARGE('metricas_redações_diplomatas'!$G$2:$G$235, 2)</f>
        <v>0.7585527897</v>
      </c>
      <c r="F9" s="17">
        <f>LARGE('metricas_redações_diplomatas'!$H$2:$H$235, 2)</f>
        <v>0.5465587045</v>
      </c>
      <c r="G9" s="17">
        <f>LARGE('metricas_redações_diplomatas'!$I$2:$I$235, 2)</f>
        <v>0.1871850252</v>
      </c>
      <c r="H9" s="17">
        <f>LARGE('metricas_redações_diplomatas'!$J$2:$J$235, 2)</f>
        <v>0.2163265306</v>
      </c>
      <c r="I9" s="17">
        <f>LARGE('metricas_redações_diplomatas'!$K$2:$K$235, 2)</f>
        <v>0.3005032351</v>
      </c>
      <c r="J9" s="17">
        <f>LARGE('metricas_redações_diplomatas'!$L$2:$L$235, 2)</f>
        <v>0.8271334767</v>
      </c>
      <c r="K9" s="17">
        <f>LARGE('metricas_redações_diplomatas'!$M$2:$M$235, 2)</f>
        <v>0.8271334767</v>
      </c>
      <c r="L9" s="17">
        <f>LARGE('metricas_redações_diplomatas'!$N$2:$N$235, 2)</f>
        <v>0.9999999404</v>
      </c>
      <c r="M9" s="17">
        <f>LARGE('metricas_redações_diplomatas'!$O$2:$O$235, 2)</f>
        <v>0.9999999404</v>
      </c>
      <c r="O9" s="15" t="s">
        <v>96</v>
      </c>
      <c r="P9" s="17">
        <f>LARGE('metricas_redações_diplomatas'!D2:D40, 2)</f>
        <v>0.09074548452</v>
      </c>
      <c r="Q9" s="17">
        <f>LARGE('metricas_redações_diplomatas'!E2:E40, 2)</f>
        <v>0.759619236</v>
      </c>
      <c r="R9" s="17">
        <f>LARGE('metricas_redações_diplomatas'!F2:F40, 2)</f>
        <v>0.7522220612</v>
      </c>
      <c r="S9" s="17">
        <f>LARGE('metricas_redações_diplomatas'!G2:G40, 2)</f>
        <v>0.7547488213</v>
      </c>
      <c r="T9" s="17">
        <f>LARGE('metricas_redações_diplomatas'!H2:H40, 2)</f>
        <v>0.5307730182</v>
      </c>
      <c r="U9" s="17">
        <f>LARGE('metricas_redações_diplomatas'!I2:I40, 2)</f>
        <v>0.1731431382</v>
      </c>
      <c r="V9" s="17">
        <f>LARGE('metricas_redações_diplomatas'!J2:J40, 2)</f>
        <v>0.2038216561</v>
      </c>
      <c r="W9" s="17">
        <f>LARGE('metricas_redações_diplomatas'!K2:K40, 2)</f>
        <v>0.2847955903</v>
      </c>
      <c r="X9" s="17">
        <f>LARGE('metricas_redações_diplomatas'!L2:L40, 2)</f>
        <v>0.7023139</v>
      </c>
      <c r="Y9" s="17">
        <f>LARGE('metricas_redações_diplomatas'!M2:M40, 2)</f>
        <v>0.6929934025</v>
      </c>
      <c r="Z9" s="17">
        <f>LARGE('metricas_redações_diplomatas'!N2:N40, 2)</f>
        <v>0.9999999404</v>
      </c>
      <c r="AA9" s="17">
        <f>LARGE('metricas_redações_diplomatas'!O2:O40, 2)</f>
        <v>0.8464414477</v>
      </c>
      <c r="AC9" s="15" t="s">
        <v>96</v>
      </c>
      <c r="AD9" s="17">
        <f>LARGE('metricas_redações_diplomatas'!D$41:D$79, 2)</f>
        <v>0.06207455062</v>
      </c>
      <c r="AE9" s="17">
        <f>LARGE('metricas_redações_diplomatas'!E$41:E$79, 2)</f>
        <v>0.7433568835</v>
      </c>
      <c r="AF9" s="17">
        <f>LARGE('metricas_redações_diplomatas'!F$41:F$79, 2)</f>
        <v>0.7205666304</v>
      </c>
      <c r="AG9" s="17">
        <f>LARGE('metricas_redações_diplomatas'!G$41:G$79, 2)</f>
        <v>0.7287575006</v>
      </c>
      <c r="AH9" s="17">
        <f>LARGE('metricas_redações_diplomatas'!H$41:H$79, 2)</f>
        <v>0.4803229062</v>
      </c>
      <c r="AI9" s="17">
        <f>LARGE('metricas_redações_diplomatas'!I$41:I$79, 2)</f>
        <v>0.1411290323</v>
      </c>
      <c r="AJ9" s="17">
        <f>LARGE('metricas_redações_diplomatas'!J$41:J$79, 2)</f>
        <v>0.1984732824</v>
      </c>
      <c r="AK9" s="17">
        <f>LARGE('metricas_redações_diplomatas'!K$41:K$79, 2)</f>
        <v>0.2757807896</v>
      </c>
      <c r="AL9" s="17">
        <f>LARGE('metricas_redações_diplomatas'!L$41:L$79, 2)</f>
        <v>0.7023139</v>
      </c>
      <c r="AM9" s="17">
        <f>LARGE('metricas_redações_diplomatas'!M$41:M$79, 2)</f>
        <v>0.6429824233</v>
      </c>
      <c r="AN9" s="17">
        <f>LARGE('metricas_redações_diplomatas'!N$41:N$79, 2)</f>
        <v>0.9999999404</v>
      </c>
      <c r="AO9" s="17">
        <f>LARGE('metricas_redações_diplomatas'!O$41:O$79, 2)</f>
        <v>0.6429824233</v>
      </c>
      <c r="AQ9" s="15" t="s">
        <v>96</v>
      </c>
      <c r="AR9" s="17">
        <f>LARGE('metricas_redações_diplomatas'!D$80:D$118, 2)</f>
        <v>0.1019945731</v>
      </c>
      <c r="AS9" s="17">
        <f>LARGE('metricas_redações_diplomatas'!E$80:E$118, 2)</f>
        <v>0.7661141157</v>
      </c>
      <c r="AT9" s="17">
        <f>LARGE('metricas_redações_diplomatas'!F$80:F$118, 2)</f>
        <v>0.7532212734</v>
      </c>
      <c r="AU9" s="17">
        <f>LARGE('metricas_redações_diplomatas'!G$80:G$118, 2)</f>
        <v>0.7585527897</v>
      </c>
      <c r="AV9" s="17">
        <f>LARGE('metricas_redações_diplomatas'!H$80:H$118, 2)</f>
        <v>0.5206779661</v>
      </c>
      <c r="AW9" s="17">
        <f>LARGE('metricas_redações_diplomatas'!I$80:I$118, 2)</f>
        <v>0.166023166</v>
      </c>
      <c r="AX9" s="17">
        <f>LARGE('metricas_redações_diplomatas'!J$80:J$118, 2)</f>
        <v>0.2163265306</v>
      </c>
      <c r="AY9" s="17">
        <f>LARGE('metricas_redações_diplomatas'!K$80:K$118, 2)</f>
        <v>0.2904564315</v>
      </c>
      <c r="AZ9" s="17">
        <f>LARGE('metricas_redações_diplomatas'!L$80:L$118, 2)</f>
        <v>0.7023139</v>
      </c>
      <c r="BA9" s="17">
        <f>LARGE('metricas_redações_diplomatas'!M$80:M$118, 2)</f>
        <v>0.7023139</v>
      </c>
      <c r="BB9" s="17">
        <f>LARGE('metricas_redações_diplomatas'!N$80:N$118, 2)</f>
        <v>0.9999999404</v>
      </c>
      <c r="BC9" s="17">
        <f>LARGE('metricas_redações_diplomatas'!O$80:O$118, 2)</f>
        <v>0.9999999404</v>
      </c>
      <c r="BE9" s="15" t="s">
        <v>96</v>
      </c>
      <c r="BF9" s="17">
        <f>LARGE('metricas_redações_diplomatas'!D$119:D$157, 2)</f>
        <v>0.06355853792</v>
      </c>
      <c r="BG9" s="17">
        <f>LARGE('metricas_redações_diplomatas'!E$119:E$157, 2)</f>
        <v>0.7458691001</v>
      </c>
      <c r="BH9" s="17">
        <f>LARGE('metricas_redações_diplomatas'!F$119:F$157, 2)</f>
        <v>0.7358982563</v>
      </c>
      <c r="BI9" s="17">
        <f>LARGE('metricas_redações_diplomatas'!G$119:G$157, 2)</f>
        <v>0.7396807671</v>
      </c>
      <c r="BJ9" s="17">
        <f>LARGE('metricas_redações_diplomatas'!H$119:H$157, 2)</f>
        <v>0.4739195231</v>
      </c>
      <c r="BK9" s="17">
        <f>LARGE('metricas_redações_diplomatas'!I$119:I$157, 2)</f>
        <v>0.1244094488</v>
      </c>
      <c r="BL9" s="17">
        <f>LARGE('metricas_redações_diplomatas'!J$119:J$157, 2)</f>
        <v>0.2101341282</v>
      </c>
      <c r="BM9" s="17">
        <f>LARGE('metricas_redações_diplomatas'!K$119:K$157, 2)</f>
        <v>0.2748091603</v>
      </c>
      <c r="BN9" s="17">
        <f>LARGE('metricas_redações_diplomatas'!L$119:L$157, 2)</f>
        <v>0.7023139</v>
      </c>
      <c r="BO9" s="17">
        <f>LARGE('metricas_redações_diplomatas'!M$119:M$157, 2)</f>
        <v>0.7023139</v>
      </c>
      <c r="BP9" s="17">
        <f>LARGE('metricas_redações_diplomatas'!N$119:N$157, 2)</f>
        <v>0.9999999404</v>
      </c>
      <c r="BQ9" s="17">
        <f>LARGE('metricas_redações_diplomatas'!O$119:O$157, 2)</f>
        <v>0.9999999404</v>
      </c>
      <c r="BS9" s="15" t="s">
        <v>96</v>
      </c>
      <c r="BT9" s="17">
        <f>LARGE('metricas_redações_diplomatas'!D$158:D$196, 2)</f>
        <v>0.07708339747</v>
      </c>
      <c r="BU9" s="17">
        <f>LARGE('metricas_redações_diplomatas'!E$158:E$196, 2)</f>
        <v>0.7491736412</v>
      </c>
      <c r="BV9" s="17">
        <f>LARGE('metricas_redações_diplomatas'!F$158:F$196, 2)</f>
        <v>0.7413676977</v>
      </c>
      <c r="BW9" s="17">
        <f>LARGE('metricas_redações_diplomatas'!G$158:G$196, 2)</f>
        <v>0.7439855933</v>
      </c>
      <c r="BX9" s="17">
        <f>LARGE('metricas_redações_diplomatas'!H$158:H$196, 2)</f>
        <v>0.4995918367</v>
      </c>
      <c r="BY9" s="17">
        <f>LARGE('metricas_redações_diplomatas'!I$158:I$196, 2)</f>
        <v>0.1522094926</v>
      </c>
      <c r="BZ9" s="17">
        <f>LARGE('metricas_redações_diplomatas'!J$158:J$196, 2)</f>
        <v>0.2040185471</v>
      </c>
      <c r="CA9" s="17">
        <f>LARGE('metricas_redações_diplomatas'!K$158:K$196, 2)</f>
        <v>0.2870748299</v>
      </c>
      <c r="CB9" s="17">
        <f>LARGE('metricas_redações_diplomatas'!L$158:L$196, 2)</f>
        <v>0.7023139</v>
      </c>
      <c r="CC9" s="17">
        <f>LARGE('metricas_redações_diplomatas'!M$158:M$196, 2)</f>
        <v>0.7023139</v>
      </c>
      <c r="CD9" s="17">
        <f>LARGE('metricas_redações_diplomatas'!N$158:N$196, 2)</f>
        <v>0.9999999404</v>
      </c>
      <c r="CE9" s="17">
        <f>LARGE('metricas_redações_diplomatas'!O$158:O$196, 2)</f>
        <v>0.9999999404</v>
      </c>
      <c r="CG9" s="15" t="s">
        <v>96</v>
      </c>
      <c r="CH9" s="17">
        <f>LARGE('metricas_redações_diplomatas'!D$197:D$235, 2)</f>
        <v>0.08251863039</v>
      </c>
      <c r="CI9" s="17">
        <f>LARGE('metricas_redações_diplomatas'!E$197:E$235, 2)</f>
        <v>0.756121397</v>
      </c>
      <c r="CJ9" s="17">
        <f>LARGE('metricas_redações_diplomatas'!F$197:F$235, 2)</f>
        <v>0.7356379032</v>
      </c>
      <c r="CK9" s="17">
        <f>LARGE('metricas_redações_diplomatas'!G$197:G$235, 2)</f>
        <v>0.741456151</v>
      </c>
      <c r="CL9" s="17">
        <f>LARGE('metricas_redações_diplomatas'!H$197:H$235, 2)</f>
        <v>0.5465587045</v>
      </c>
      <c r="CM9" s="17">
        <f>LARGE('metricas_redações_diplomatas'!I$197:I$235, 2)</f>
        <v>0.1871850252</v>
      </c>
      <c r="CN9" s="17">
        <f>LARGE('metricas_redações_diplomatas'!J$197:J$235, 2)</f>
        <v>0.2125813449</v>
      </c>
      <c r="CO9" s="17">
        <f>LARGE('metricas_redações_diplomatas'!K$197:K$235, 2)</f>
        <v>0.3005032351</v>
      </c>
      <c r="CP9" s="17">
        <f>LARGE('metricas_redações_diplomatas'!L$197:L$235, 2)</f>
        <v>0.7023139</v>
      </c>
      <c r="CQ9" s="17">
        <f>LARGE('metricas_redações_diplomatas'!M$197:M$235, 2)</f>
        <v>0.7023139</v>
      </c>
      <c r="CR9" s="17">
        <f>LARGE('metricas_redações_diplomatas'!N$197:N$235, 2)</f>
        <v>0.9999999404</v>
      </c>
      <c r="CS9" s="17">
        <f>LARGE('metricas_redações_diplomatas'!O$197:O$235, 2)</f>
        <v>0.9999999404</v>
      </c>
    </row>
    <row r="10">
      <c r="A10" s="15" t="s">
        <v>97</v>
      </c>
      <c r="B10" s="17">
        <f>LARGE('metricas_redações_diplomatas'!$D$2:$D$235, 3)</f>
        <v>0.09862419684</v>
      </c>
      <c r="C10" s="17">
        <f>LARGE('metricas_redações_diplomatas'!$E$2:$E$235, 3)</f>
        <v>0.7653224468</v>
      </c>
      <c r="D10" s="17">
        <f>LARGE('metricas_redações_diplomatas'!$F$2:$F$235, 3)</f>
        <v>0.7525502443</v>
      </c>
      <c r="E10" s="17">
        <f>LARGE('metricas_redações_diplomatas'!$G$2:$G$235, 3)</f>
        <v>0.7573109269</v>
      </c>
      <c r="F10" s="17">
        <f>LARGE('metricas_redações_diplomatas'!$H$2:$H$235, 3)</f>
        <v>0.5375240539</v>
      </c>
      <c r="G10" s="17">
        <f>LARGE('metricas_redações_diplomatas'!$I$2:$I$235, 3)</f>
        <v>0.1791530945</v>
      </c>
      <c r="H10" s="17">
        <f>LARGE('metricas_redações_diplomatas'!$J$2:$J$235, 3)</f>
        <v>0.2154929577</v>
      </c>
      <c r="I10" s="17">
        <f>LARGE('metricas_redações_diplomatas'!$K$2:$K$235, 3)</f>
        <v>0.2976266838</v>
      </c>
      <c r="J10" s="17">
        <f>LARGE('metricas_redações_diplomatas'!$L$2:$L$235, 3)</f>
        <v>0.8271334767</v>
      </c>
      <c r="K10" s="17">
        <f>LARGE('metricas_redações_diplomatas'!$M$2:$M$235, 3)</f>
        <v>0.8271334767</v>
      </c>
      <c r="L10" s="17">
        <f>LARGE('metricas_redações_diplomatas'!$N$2:$N$235, 3)</f>
        <v>0.9999999404</v>
      </c>
      <c r="M10" s="17">
        <f>LARGE('metricas_redações_diplomatas'!$O$2:$O$235, 3)</f>
        <v>0.9999999404</v>
      </c>
      <c r="O10" s="15" t="s">
        <v>97</v>
      </c>
      <c r="P10" s="17">
        <f>LARGE('metricas_redações_diplomatas'!D2:D40, 3)</f>
        <v>0.08873859516</v>
      </c>
      <c r="Q10" s="17">
        <f>LARGE('metricas_redações_diplomatas'!E2:E40, 3)</f>
        <v>0.7583718896</v>
      </c>
      <c r="R10" s="17">
        <f>LARGE('metricas_redações_diplomatas'!F2:F40, 3)</f>
        <v>0.7521843314</v>
      </c>
      <c r="S10" s="17">
        <f>LARGE('metricas_redações_diplomatas'!G2:G40, 3)</f>
        <v>0.7541122437</v>
      </c>
      <c r="T10" s="17">
        <f>LARGE('metricas_redações_diplomatas'!H2:H40, 3)</f>
        <v>0.5307125307</v>
      </c>
      <c r="U10" s="17">
        <f>LARGE('metricas_redações_diplomatas'!I2:I40, 3)</f>
        <v>0.1691954023</v>
      </c>
      <c r="V10" s="17">
        <f>LARGE('metricas_redações_diplomatas'!J2:J40, 3)</f>
        <v>0.2027491409</v>
      </c>
      <c r="W10" s="17">
        <f>LARGE('metricas_redações_diplomatas'!K2:K40, 3)</f>
        <v>0.2826347305</v>
      </c>
      <c r="X10" s="17">
        <f>LARGE('metricas_redações_diplomatas'!L2:L40, 3)</f>
        <v>0.7023139</v>
      </c>
      <c r="Y10" s="17">
        <f>LARGE('metricas_redações_diplomatas'!M2:M40, 3)</f>
        <v>0.6929934025</v>
      </c>
      <c r="Z10" s="17">
        <f>LARGE('metricas_redações_diplomatas'!N2:N40, 3)</f>
        <v>0.9999999404</v>
      </c>
      <c r="AA10" s="17">
        <f>LARGE('metricas_redações_diplomatas'!O2:O40, 3)</f>
        <v>0.8464414477</v>
      </c>
      <c r="AC10" s="15" t="s">
        <v>97</v>
      </c>
      <c r="AD10" s="17">
        <f>LARGE('metricas_redações_diplomatas'!D$41:D$79, 3)</f>
        <v>0.05895891767</v>
      </c>
      <c r="AE10" s="17">
        <f>LARGE('metricas_redações_diplomatas'!E$41:E$79, 3)</f>
        <v>0.7391147017</v>
      </c>
      <c r="AF10" s="17">
        <f>LARGE('metricas_redações_diplomatas'!F$41:F$79, 3)</f>
        <v>0.7175053954</v>
      </c>
      <c r="AG10" s="17">
        <f>LARGE('metricas_redações_diplomatas'!G$41:G$79, 3)</f>
        <v>0.7279273868</v>
      </c>
      <c r="AH10" s="17">
        <f>LARGE('metricas_redações_diplomatas'!H$41:H$79, 3)</f>
        <v>0.4793554884</v>
      </c>
      <c r="AI10" s="17">
        <f>LARGE('metricas_redações_diplomatas'!I$41:I$79, 3)</f>
        <v>0.1309757695</v>
      </c>
      <c r="AJ10" s="17">
        <f>LARGE('metricas_redações_diplomatas'!J$41:J$79, 3)</f>
        <v>0.1972386588</v>
      </c>
      <c r="AK10" s="17">
        <f>LARGE('metricas_redações_diplomatas'!K$41:K$79, 3)</f>
        <v>0.2746893394</v>
      </c>
      <c r="AL10" s="17">
        <f>LARGE('metricas_redações_diplomatas'!L$41:L$79, 3)</f>
        <v>0.7023139</v>
      </c>
      <c r="AM10" s="17">
        <f>LARGE('metricas_redações_diplomatas'!M$41:M$79, 3)</f>
        <v>0.5211315751</v>
      </c>
      <c r="AN10" s="17">
        <f>LARGE('metricas_redações_diplomatas'!N$41:N$79, 3)</f>
        <v>0.9999999404</v>
      </c>
      <c r="AO10" s="17">
        <f>LARGE('metricas_redações_diplomatas'!O$41:O$79, 3)</f>
        <v>0.5672008395</v>
      </c>
      <c r="AQ10" s="15" t="s">
        <v>97</v>
      </c>
      <c r="AR10" s="17">
        <f>LARGE('metricas_redações_diplomatas'!D$80:D$118, 3)</f>
        <v>0.09862419684</v>
      </c>
      <c r="AS10" s="17">
        <f>LARGE('metricas_redações_diplomatas'!E$80:E$118, 3)</f>
        <v>0.7653224468</v>
      </c>
      <c r="AT10" s="17">
        <f>LARGE('metricas_redações_diplomatas'!F$80:F$118, 3)</f>
        <v>0.7525119185</v>
      </c>
      <c r="AU10" s="17">
        <f>LARGE('metricas_redações_diplomatas'!G$80:G$118, 3)</f>
        <v>0.7573109269</v>
      </c>
      <c r="AV10" s="17">
        <f>LARGE('metricas_redações_diplomatas'!H$80:H$118, 3)</f>
        <v>0.5155279503</v>
      </c>
      <c r="AW10" s="17">
        <f>LARGE('metricas_redações_diplomatas'!I$80:I$118, 3)</f>
        <v>0.1642905635</v>
      </c>
      <c r="AX10" s="17">
        <f>LARGE('metricas_redações_diplomatas'!J$80:J$118, 3)</f>
        <v>0.2154929577</v>
      </c>
      <c r="AY10" s="17">
        <f>LARGE('metricas_redações_diplomatas'!K$80:K$118, 3)</f>
        <v>0.2888198758</v>
      </c>
      <c r="AZ10" s="17">
        <f>LARGE('metricas_redações_diplomatas'!L$80:L$118, 3)</f>
        <v>0.7023139</v>
      </c>
      <c r="BA10" s="17">
        <f>LARGE('metricas_redações_diplomatas'!M$80:M$118, 3)</f>
        <v>0.7023139</v>
      </c>
      <c r="BB10" s="17">
        <f>LARGE('metricas_redações_diplomatas'!N$80:N$118, 3)</f>
        <v>0.9999999404</v>
      </c>
      <c r="BC10" s="17">
        <f>LARGE('metricas_redações_diplomatas'!O$80:O$118, 3)</f>
        <v>0.9999999404</v>
      </c>
      <c r="BE10" s="15" t="s">
        <v>97</v>
      </c>
      <c r="BF10" s="17">
        <f>LARGE('metricas_redações_diplomatas'!D$119:D$157, 3)</f>
        <v>0.06187351218</v>
      </c>
      <c r="BG10" s="17">
        <f>LARGE('metricas_redações_diplomatas'!E$119:E$157, 3)</f>
        <v>0.7435289621</v>
      </c>
      <c r="BH10" s="17">
        <f>LARGE('metricas_redações_diplomatas'!F$119:F$157, 3)</f>
        <v>0.7343300581</v>
      </c>
      <c r="BI10" s="17">
        <f>LARGE('metricas_redações_diplomatas'!G$119:G$157, 3)</f>
        <v>0.7375746965</v>
      </c>
      <c r="BJ10" s="17">
        <f>LARGE('metricas_redações_diplomatas'!H$119:H$157, 3)</f>
        <v>0.4732824427</v>
      </c>
      <c r="BK10" s="17">
        <f>LARGE('metricas_redações_diplomatas'!I$119:I$157, 3)</f>
        <v>0.1221543587</v>
      </c>
      <c r="BL10" s="17">
        <f>LARGE('metricas_redações_diplomatas'!J$119:J$157, 3)</f>
        <v>0.2037174721</v>
      </c>
      <c r="BM10" s="17">
        <f>LARGE('metricas_redações_diplomatas'!K$119:K$157, 3)</f>
        <v>0.2733590734</v>
      </c>
      <c r="BN10" s="17">
        <f>LARGE('metricas_redações_diplomatas'!L$119:L$157, 3)</f>
        <v>0.7023139</v>
      </c>
      <c r="BO10" s="17">
        <f>LARGE('metricas_redações_diplomatas'!M$119:M$157, 3)</f>
        <v>0.7023139</v>
      </c>
      <c r="BP10" s="17">
        <f>LARGE('metricas_redações_diplomatas'!N$119:N$157, 3)</f>
        <v>0.9999999404</v>
      </c>
      <c r="BQ10" s="17">
        <f>LARGE('metricas_redações_diplomatas'!O$119:O$157, 3)</f>
        <v>0.9999999404</v>
      </c>
      <c r="BS10" s="15" t="s">
        <v>97</v>
      </c>
      <c r="BT10" s="17">
        <f>LARGE('metricas_redações_diplomatas'!D$158:D$196, 3)</f>
        <v>0.0770118429</v>
      </c>
      <c r="BU10" s="17">
        <f>LARGE('metricas_redações_diplomatas'!E$158:E$196, 3)</f>
        <v>0.7468957901</v>
      </c>
      <c r="BV10" s="17">
        <f>LARGE('metricas_redações_diplomatas'!F$158:F$196, 3)</f>
        <v>0.7370663881</v>
      </c>
      <c r="BW10" s="17">
        <f>LARGE('metricas_redações_diplomatas'!G$158:G$196, 3)</f>
        <v>0.7432827353</v>
      </c>
      <c r="BX10" s="17">
        <f>LARGE('metricas_redações_diplomatas'!H$158:H$196, 3)</f>
        <v>0.4945904173</v>
      </c>
      <c r="BY10" s="17">
        <f>LARGE('metricas_redações_diplomatas'!I$158:I$196, 3)</f>
        <v>0.1488143908</v>
      </c>
      <c r="BZ10" s="17">
        <f>LARGE('metricas_redações_diplomatas'!J$158:J$196, 3)</f>
        <v>0.2037174721</v>
      </c>
      <c r="CA10" s="17">
        <f>LARGE('metricas_redações_diplomatas'!K$158:K$196, 3)</f>
        <v>0.2831541219</v>
      </c>
      <c r="CB10" s="17">
        <f>LARGE('metricas_redações_diplomatas'!L$158:L$196, 3)</f>
        <v>0.7023139</v>
      </c>
      <c r="CC10" s="17">
        <f>LARGE('metricas_redações_diplomatas'!M$158:M$196, 3)</f>
        <v>0.7023139</v>
      </c>
      <c r="CD10" s="17">
        <f>LARGE('metricas_redações_diplomatas'!N$158:N$196, 3)</f>
        <v>0.9999999404</v>
      </c>
      <c r="CE10" s="17">
        <f>LARGE('metricas_redações_diplomatas'!O$158:O$196, 3)</f>
        <v>0.9999999404</v>
      </c>
      <c r="CG10" s="15" t="s">
        <v>97</v>
      </c>
      <c r="CH10" s="17">
        <f>LARGE('metricas_redações_diplomatas'!D$197:D$235, 3)</f>
        <v>0.07699390511</v>
      </c>
      <c r="CI10" s="17">
        <f>LARGE('metricas_redações_diplomatas'!E$197:E$235, 3)</f>
        <v>0.7536808252</v>
      </c>
      <c r="CJ10" s="17">
        <f>LARGE('metricas_redações_diplomatas'!F$197:F$235, 3)</f>
        <v>0.7315009832</v>
      </c>
      <c r="CK10" s="17">
        <f>LARGE('metricas_redações_diplomatas'!G$197:G$235, 3)</f>
        <v>0.7412909865</v>
      </c>
      <c r="CL10" s="17">
        <f>LARGE('metricas_redações_diplomatas'!H$197:H$235, 3)</f>
        <v>0.5375240539</v>
      </c>
      <c r="CM10" s="17">
        <f>LARGE('metricas_redações_diplomatas'!I$197:I$235, 3)</f>
        <v>0.1791530945</v>
      </c>
      <c r="CN10" s="17">
        <f>LARGE('metricas_redações_diplomatas'!J$197:J$235, 3)</f>
        <v>0.2121445042</v>
      </c>
      <c r="CO10" s="17">
        <f>LARGE('metricas_redações_diplomatas'!K$197:K$235, 3)</f>
        <v>0.2976266838</v>
      </c>
      <c r="CP10" s="17">
        <f>LARGE('metricas_redações_diplomatas'!L$197:L$235, 3)</f>
        <v>0.7023139</v>
      </c>
      <c r="CQ10" s="17">
        <f>LARGE('metricas_redações_diplomatas'!M$197:M$235, 3)</f>
        <v>0.7023139</v>
      </c>
      <c r="CR10" s="17">
        <f>LARGE('metricas_redações_diplomatas'!N$197:N$235, 3)</f>
        <v>0.9999999404</v>
      </c>
      <c r="CS10" s="17">
        <f>LARGE('metricas_redações_diplomatas'!O$197:O$235, 3)</f>
        <v>0.9999999404</v>
      </c>
    </row>
    <row r="13">
      <c r="B13" s="18" t="s">
        <v>3</v>
      </c>
      <c r="C13" s="18" t="s">
        <v>4</v>
      </c>
      <c r="D13" s="18" t="s">
        <v>5</v>
      </c>
      <c r="E13" s="18" t="s">
        <v>6</v>
      </c>
      <c r="F13" s="18" t="s">
        <v>7</v>
      </c>
      <c r="G13" s="18" t="s">
        <v>8</v>
      </c>
      <c r="H13" s="18" t="s">
        <v>9</v>
      </c>
      <c r="I13" s="18" t="s">
        <v>10</v>
      </c>
      <c r="J13" s="18" t="s">
        <v>11</v>
      </c>
      <c r="K13" s="18" t="s">
        <v>12</v>
      </c>
      <c r="L13" s="18" t="s">
        <v>13</v>
      </c>
      <c r="M13" s="18" t="s">
        <v>14</v>
      </c>
      <c r="P13" s="18" t="s">
        <v>3</v>
      </c>
      <c r="Q13" s="18" t="s">
        <v>4</v>
      </c>
      <c r="R13" s="18" t="s">
        <v>5</v>
      </c>
      <c r="S13" s="18" t="s">
        <v>6</v>
      </c>
      <c r="T13" s="18" t="s">
        <v>7</v>
      </c>
      <c r="U13" s="18" t="s">
        <v>8</v>
      </c>
      <c r="V13" s="18" t="s">
        <v>9</v>
      </c>
      <c r="W13" s="18" t="s">
        <v>10</v>
      </c>
      <c r="X13" s="18" t="s">
        <v>11</v>
      </c>
      <c r="Y13" s="18" t="s">
        <v>12</v>
      </c>
      <c r="Z13" s="18" t="s">
        <v>13</v>
      </c>
      <c r="AA13" s="18" t="s">
        <v>14</v>
      </c>
      <c r="AD13" s="18" t="s">
        <v>3</v>
      </c>
      <c r="AE13" s="18" t="s">
        <v>4</v>
      </c>
      <c r="AF13" s="18" t="s">
        <v>5</v>
      </c>
      <c r="AG13" s="18" t="s">
        <v>6</v>
      </c>
      <c r="AH13" s="18" t="s">
        <v>7</v>
      </c>
      <c r="AI13" s="18" t="s">
        <v>8</v>
      </c>
      <c r="AJ13" s="18" t="s">
        <v>9</v>
      </c>
      <c r="AK13" s="18" t="s">
        <v>10</v>
      </c>
      <c r="AL13" s="18" t="s">
        <v>11</v>
      </c>
      <c r="AM13" s="18" t="s">
        <v>12</v>
      </c>
      <c r="AN13" s="18" t="s">
        <v>13</v>
      </c>
      <c r="AO13" s="18" t="s">
        <v>14</v>
      </c>
      <c r="AR13" s="18" t="s">
        <v>3</v>
      </c>
      <c r="AS13" s="18" t="s">
        <v>4</v>
      </c>
      <c r="AT13" s="18" t="s">
        <v>5</v>
      </c>
      <c r="AU13" s="18" t="s">
        <v>6</v>
      </c>
      <c r="AV13" s="18" t="s">
        <v>7</v>
      </c>
      <c r="AW13" s="18" t="s">
        <v>8</v>
      </c>
      <c r="AX13" s="18" t="s">
        <v>9</v>
      </c>
      <c r="AY13" s="18" t="s">
        <v>10</v>
      </c>
      <c r="AZ13" s="18" t="s">
        <v>11</v>
      </c>
      <c r="BA13" s="18" t="s">
        <v>12</v>
      </c>
      <c r="BB13" s="18" t="s">
        <v>13</v>
      </c>
      <c r="BC13" s="18" t="s">
        <v>14</v>
      </c>
      <c r="BF13" s="18" t="s">
        <v>3</v>
      </c>
      <c r="BG13" s="18" t="s">
        <v>4</v>
      </c>
      <c r="BH13" s="18" t="s">
        <v>5</v>
      </c>
      <c r="BI13" s="18" t="s">
        <v>6</v>
      </c>
      <c r="BJ13" s="18" t="s">
        <v>7</v>
      </c>
      <c r="BK13" s="18" t="s">
        <v>8</v>
      </c>
      <c r="BL13" s="18" t="s">
        <v>9</v>
      </c>
      <c r="BM13" s="18" t="s">
        <v>10</v>
      </c>
      <c r="BN13" s="18" t="s">
        <v>11</v>
      </c>
      <c r="BO13" s="18" t="s">
        <v>12</v>
      </c>
      <c r="BP13" s="18" t="s">
        <v>13</v>
      </c>
      <c r="BQ13" s="18" t="s">
        <v>14</v>
      </c>
      <c r="BT13" s="18" t="s">
        <v>3</v>
      </c>
      <c r="BU13" s="18" t="s">
        <v>4</v>
      </c>
      <c r="BV13" s="18" t="s">
        <v>5</v>
      </c>
      <c r="BW13" s="18" t="s">
        <v>6</v>
      </c>
      <c r="BX13" s="18" t="s">
        <v>7</v>
      </c>
      <c r="BY13" s="18" t="s">
        <v>8</v>
      </c>
      <c r="BZ13" s="18" t="s">
        <v>9</v>
      </c>
      <c r="CA13" s="18" t="s">
        <v>10</v>
      </c>
      <c r="CB13" s="18" t="s">
        <v>11</v>
      </c>
      <c r="CC13" s="18" t="s">
        <v>12</v>
      </c>
      <c r="CD13" s="18" t="s">
        <v>13</v>
      </c>
      <c r="CE13" s="18" t="s">
        <v>14</v>
      </c>
      <c r="CH13" s="18" t="s">
        <v>3</v>
      </c>
      <c r="CI13" s="18" t="s">
        <v>4</v>
      </c>
      <c r="CJ13" s="18" t="s">
        <v>5</v>
      </c>
      <c r="CK13" s="18" t="s">
        <v>6</v>
      </c>
      <c r="CL13" s="18" t="s">
        <v>7</v>
      </c>
      <c r="CM13" s="18" t="s">
        <v>8</v>
      </c>
      <c r="CN13" s="18" t="s">
        <v>9</v>
      </c>
      <c r="CO13" s="18" t="s">
        <v>10</v>
      </c>
      <c r="CP13" s="18" t="s">
        <v>11</v>
      </c>
      <c r="CQ13" s="18" t="s">
        <v>12</v>
      </c>
      <c r="CR13" s="18" t="s">
        <v>13</v>
      </c>
      <c r="CS13" s="18" t="s">
        <v>14</v>
      </c>
    </row>
    <row r="14">
      <c r="A14" s="19" t="s">
        <v>98</v>
      </c>
      <c r="B14" s="20" t="str">
        <f t="array" ref="B14">INDEX('metricas_redações_diplomatas'!$C:$C, MATCH(SMALL('metricas_redações_diplomatas'!D:D, 1), 'metricas_redações_diplomatas'!D:D, 0))</f>
        <v>qwen2_7b_temp03</v>
      </c>
      <c r="C14" s="20" t="str">
        <f t="array" ref="C14">INDEX('metricas_redações_diplomatas'!$C:$C, MATCH(SMALL('metricas_redações_diplomatas'!E:E, 1), 'metricas_redações_diplomatas'!E:E, 0))</f>
        <v>qwen2_7b_temp03</v>
      </c>
      <c r="D14" s="20" t="str">
        <f t="array" ref="D14">INDEX('metricas_redações_diplomatas'!$C:$C, MATCH(SMALL('metricas_redações_diplomatas'!F:F, 1), 'metricas_redações_diplomatas'!F:F, 0))</f>
        <v>qwen2_7b_temp03</v>
      </c>
      <c r="E14" s="20" t="str">
        <f t="array" ref="E14">INDEX('metricas_redações_diplomatas'!$C:$C, MATCH(SMALL('metricas_redações_diplomatas'!G:G, 1), 'metricas_redações_diplomatas'!G:G, 0))</f>
        <v>qwen2_7b_temp03</v>
      </c>
      <c r="F14" s="20" t="str">
        <f t="array" ref="F14">INDEX('metricas_redações_diplomatas'!$C:$C, MATCH(SMALL('metricas_redações_diplomatas'!H:H, 1), 'metricas_redações_diplomatas'!H:H, 0))</f>
        <v>phi_3.5_vision_temp03</v>
      </c>
      <c r="G14" s="20" t="str">
        <f t="array" ref="G14">INDEX('metricas_redações_diplomatas'!$C:$C, MATCH(SMALL('metricas_redações_diplomatas'!I:I, 1), 'metricas_redações_diplomatas'!I:I, 0))</f>
        <v>phi_3_mini_temp03</v>
      </c>
      <c r="H14" s="20" t="str">
        <f t="array" ref="H14">INDEX('metricas_redações_diplomatas'!$C:$C, MATCH(SMALL('metricas_redações_diplomatas'!J:J, 1), 'metricas_redações_diplomatas'!J:J, 0))</f>
        <v>phi_3.5_vision_temp03</v>
      </c>
      <c r="I14" s="20" t="str">
        <f t="array" ref="I14">INDEX('metricas_redações_diplomatas'!$C:$C, MATCH(SMALL('metricas_redações_diplomatas'!K:K, 1), 'metricas_redações_diplomatas'!K:K, 0))</f>
        <v>qwen2_7b_temp03</v>
      </c>
      <c r="J14" s="20" t="str">
        <f t="array" ref="J14">INDEX('metricas_redações_diplomatas'!$C:$C, MATCH(SMALL('metricas_redações_diplomatas'!L:L, 1), 'metricas_redações_diplomatas'!L:L, 0))</f>
        <v>gpt4o_temp03</v>
      </c>
      <c r="K14" s="20" t="str">
        <f t="array" ref="K14">INDEX('metricas_redações_diplomatas'!$C:$C, MATCH(SMALL('metricas_redações_diplomatas'!M:M, 1), 'metricas_redações_diplomatas'!M:M, 0))</f>
        <v>gpt4o_temp03</v>
      </c>
      <c r="L14" s="20" t="str">
        <f t="array" ref="L14">INDEX('metricas_redações_diplomatas'!$C:$C, MATCH(SMALL('metricas_redações_diplomatas'!N:N, 1), 'metricas_redações_diplomatas'!N:N, 0))</f>
        <v>phi_3_mini_temp03</v>
      </c>
      <c r="M14" s="20" t="str">
        <f t="array" ref="M14">INDEX('metricas_redações_diplomatas'!$C:$C, MATCH(SMALL('metricas_redações_diplomatas'!O:O, 1), 'metricas_redações_diplomatas'!O:O, 0))</f>
        <v>llama_405b_temp05</v>
      </c>
      <c r="O14" s="19" t="s">
        <v>98</v>
      </c>
      <c r="P14" s="20" t="str">
        <f t="array" ref="P14">INDEX('metricas_redações_diplomatas'!$C:$C, MATCH(MIN('metricas_redações_diplomatas'!D2:D40),'metricas_redações_diplomatas'!D:D, 0))</f>
        <v>phi_3.5_vision_temp03</v>
      </c>
      <c r="Q14" s="20" t="str">
        <f t="array" ref="Q14">INDEX('metricas_redações_diplomatas'!$C:$C, MATCH(MIN('metricas_redações_diplomatas'!E2:E40),'metricas_redações_diplomatas'!E:E, 0))</f>
        <v>qwen2_7b_temp03</v>
      </c>
      <c r="R14" s="20" t="str">
        <f t="array" ref="R14">INDEX('metricas_redações_diplomatas'!$C:$C, MATCH(MIN('metricas_redações_diplomatas'!F2:F40),'metricas_redações_diplomatas'!F:F, 0))</f>
        <v>qwen2_7b_temp03</v>
      </c>
      <c r="S14" s="20" t="str">
        <f t="array" ref="S14">INDEX('metricas_redações_diplomatas'!$C:$C, MATCH(MIN('metricas_redações_diplomatas'!G2:G40),'metricas_redações_diplomatas'!G:G, 0))</f>
        <v>qwen2_7b_temp03</v>
      </c>
      <c r="T14" s="20" t="str">
        <f t="array" ref="T14">INDEX('metricas_redações_diplomatas'!$C:$C, MATCH(MIN('metricas_redações_diplomatas'!H2:H40),'metricas_redações_diplomatas'!H:H, 0))</f>
        <v>phi_3.5_vision_temp03</v>
      </c>
      <c r="U14" s="20" t="str">
        <f t="array" ref="U14">INDEX('metricas_redações_diplomatas'!$C:$C, MATCH(MIN('metricas_redações_diplomatas'!I2:I40),'metricas_redações_diplomatas'!I:I, 0))</f>
        <v>phi_3_mini_temp07</v>
      </c>
      <c r="V14" s="20" t="str">
        <f t="array" ref="V14">INDEX('metricas_redações_diplomatas'!$C:$C, MATCH(MIN('metricas_redações_diplomatas'!J2:J40),'metricas_redações_diplomatas'!J:J, 0))</f>
        <v>phi_3.5_vision_temp03</v>
      </c>
      <c r="W14" s="20" t="str">
        <f t="array" ref="W14">INDEX('metricas_redações_diplomatas'!$C:$C, MATCH(MIN('metricas_redações_diplomatas'!K2:K40),'metricas_redações_diplomatas'!K:K, 0))</f>
        <v>qwen2_7b_temp03</v>
      </c>
      <c r="X14" s="20" t="str">
        <f t="array" ref="X14">INDEX('metricas_redações_diplomatas'!$C:$C, MATCH(MIN('metricas_redações_diplomatas'!L2:L40),'metricas_redações_diplomatas'!L:L, 0))</f>
        <v>gpt4o_temp03</v>
      </c>
      <c r="Y14" s="20" t="str">
        <f t="array" ref="Y14">INDEX('metricas_redações_diplomatas'!$C:$C, MATCH(MIN('metricas_redações_diplomatas'!M2:M40),'metricas_redações_diplomatas'!M:M, 0))</f>
        <v>gpt4o_temp03</v>
      </c>
      <c r="Z14" s="20" t="str">
        <f t="array" ref="Z14">INDEX('metricas_redações_diplomatas'!$C:$C, MATCH(MIN('metricas_redações_diplomatas'!N2:N40),'metricas_redações_diplomatas'!N:N, 0))</f>
        <v>phi_3_mini_temp03</v>
      </c>
      <c r="AA14" s="20" t="str">
        <f t="array" ref="AA14">INDEX('metricas_redações_diplomatas'!$C:$C, MATCH(MIN('metricas_redações_diplomatas'!O2:O40),'metricas_redações_diplomatas'!O:O, 0))</f>
        <v>phi_3_mini_temp03</v>
      </c>
      <c r="AC14" s="19" t="s">
        <v>98</v>
      </c>
      <c r="AD14" s="20" t="str">
        <f t="array" ref="AD14">INDEX('metricas_redações_diplomatas'!$C:$C, MATCH(MIN('metricas_redações_diplomatas'!D41:D79),'metricas_redações_diplomatas'!D:D, 0))</f>
        <v>qwen2_7b_temp03</v>
      </c>
      <c r="AE14" s="20" t="str">
        <f t="array" ref="AE14">INDEX('metricas_redações_diplomatas'!$C:$C, MATCH(MIN('metricas_redações_diplomatas'!E41:E79),'metricas_redações_diplomatas'!E:E, 0))</f>
        <v>qwen2_7b_temp03</v>
      </c>
      <c r="AF14" s="20" t="str">
        <f t="array" ref="AF14">INDEX('metricas_redações_diplomatas'!$C:$C, MATCH(MIN('metricas_redações_diplomatas'!F41:F79),'metricas_redações_diplomatas'!F:F, 0))</f>
        <v>qwen2_7b_temp03</v>
      </c>
      <c r="AG14" s="20" t="str">
        <f t="array" ref="AG14">INDEX('metricas_redações_diplomatas'!$C:$C, MATCH(MIN('metricas_redações_diplomatas'!G41:G79),'metricas_redações_diplomatas'!G:G, 0))</f>
        <v>qwen2_7b_temp03</v>
      </c>
      <c r="AH14" s="20" t="str">
        <f t="array" ref="AH14">INDEX('metricas_redações_diplomatas'!$C:$C, MATCH(MIN('metricas_redações_diplomatas'!H41:H79),'metricas_redações_diplomatas'!H:H, 0))</f>
        <v>phi_3.5_vision_temp03</v>
      </c>
      <c r="AI14" s="20" t="str">
        <f t="array" ref="AI14">INDEX('metricas_redações_diplomatas'!$C:$C, MATCH(MIN('metricas_redações_diplomatas'!I41:I79),'metricas_redações_diplomatas'!I:I, 0))</f>
        <v>phi_3_mini_temp03</v>
      </c>
      <c r="AJ14" s="20" t="str">
        <f t="array" ref="AJ14">INDEX('metricas_redações_diplomatas'!$C:$C, MATCH(MIN('metricas_redações_diplomatas'!J41:J79),'metricas_redações_diplomatas'!J:J, 0))</f>
        <v>phi_3_mini_temp07</v>
      </c>
      <c r="AK14" s="20" t="str">
        <f t="array" ref="AK14">INDEX('metricas_redações_diplomatas'!$C:$C, MATCH(MIN('metricas_redações_diplomatas'!K41:K79),'metricas_redações_diplomatas'!K:K, 0))</f>
        <v>phi_3.5_vision_temp07</v>
      </c>
      <c r="AL14" s="20" t="str">
        <f t="array" ref="AL14">INDEX('metricas_redações_diplomatas'!$C:$C, MATCH(MIN('metricas_redações_diplomatas'!L41:L79),'metricas_redações_diplomatas'!L:L, 0))</f>
        <v>gpt4o_temp03</v>
      </c>
      <c r="AM14" s="20" t="str">
        <f t="array" ref="AM14">INDEX('metricas_redações_diplomatas'!$C:$C, MATCH(MIN('metricas_redações_diplomatas'!M41:M79),'metricas_redações_diplomatas'!M:M, 0))</f>
        <v>gpt4o_temp03</v>
      </c>
      <c r="AN14" s="20" t="str">
        <f t="array" ref="AN14">INDEX('metricas_redações_diplomatas'!$C:$C, MATCH(MIN('metricas_redações_diplomatas'!N41:N79),'metricas_redações_diplomatas'!N:N, 0))</f>
        <v>phi_3_mini_temp03</v>
      </c>
      <c r="AO14" s="20" t="str">
        <f t="array" ref="AO14">INDEX('metricas_redações_diplomatas'!$C:$C, MATCH(MIN('metricas_redações_diplomatas'!O41:O79),'metricas_redações_diplomatas'!O:O, 0))</f>
        <v>llama_405b_temp05</v>
      </c>
      <c r="AQ14" s="19" t="s">
        <v>98</v>
      </c>
      <c r="AR14" s="20" t="str">
        <f t="array" ref="AR14">INDEX('metricas_redações_diplomatas'!$C:$C, MATCH(MIN('metricas_redações_diplomatas'!D80:D118),'metricas_redações_diplomatas'!D:D, 0))</f>
        <v>qwen2_7b_temp03</v>
      </c>
      <c r="AS14" s="20" t="str">
        <f t="array" ref="AS14">INDEX('metricas_redações_diplomatas'!$C:$C, MATCH(MIN('metricas_redações_diplomatas'!E80:E118),'metricas_redações_diplomatas'!E:E, 0))</f>
        <v>qwen2_7b_temp03</v>
      </c>
      <c r="AT14" s="20" t="str">
        <f t="array" ref="AT14">INDEX('metricas_redações_diplomatas'!$C:$C, MATCH(MIN('metricas_redações_diplomatas'!F80:F118),'metricas_redações_diplomatas'!F:F, 0))</f>
        <v>qwen2_7b_temp03</v>
      </c>
      <c r="AU14" s="20" t="str">
        <f t="array" ref="AU14">INDEX('metricas_redações_diplomatas'!$C:$C, MATCH(MIN('metricas_redações_diplomatas'!G80:G118),'metricas_redações_diplomatas'!G:G, 0))</f>
        <v>qwen2_7b_temp03</v>
      </c>
      <c r="AV14" s="20" t="str">
        <f t="array" ref="AV14">INDEX('metricas_redações_diplomatas'!$C:$C, MATCH(MIN('metricas_redações_diplomatas'!H80:H118),'metricas_redações_diplomatas'!H:H, 0))</f>
        <v>qwen2_7b_temp03</v>
      </c>
      <c r="AW14" s="20" t="str">
        <f t="array" ref="AW14">INDEX('metricas_redações_diplomatas'!$C:$C, MATCH(MIN('metricas_redações_diplomatas'!I80:I118),'metricas_redações_diplomatas'!I:I, 0))</f>
        <v>qwen2_7b_temp03</v>
      </c>
      <c r="AX14" s="20" t="str">
        <f t="array" ref="AX14">INDEX('metricas_redações_diplomatas'!$C:$C, MATCH(MIN('metricas_redações_diplomatas'!J80:J118),'metricas_redações_diplomatas'!J:J, 0))</f>
        <v>phi_3.5_vision_temp03</v>
      </c>
      <c r="AY14" s="20" t="str">
        <f t="array" ref="AY14">INDEX('metricas_redações_diplomatas'!$C:$C, MATCH(MIN('metricas_redações_diplomatas'!K80:K118),'metricas_redações_diplomatas'!K:K, 0))</f>
        <v>qwen2_7b_temp03</v>
      </c>
      <c r="AZ14" s="20" t="str">
        <f t="array" ref="AZ14">INDEX('metricas_redações_diplomatas'!$C:$C, MATCH(MIN('metricas_redações_diplomatas'!L80:L118),'metricas_redações_diplomatas'!L:L, 0))</f>
        <v>gpt4o_temp03</v>
      </c>
      <c r="BA14" s="20" t="str">
        <f t="array" ref="BA14">INDEX('metricas_redações_diplomatas'!$C:$C, MATCH(MIN('metricas_redações_diplomatas'!M80:M118),'metricas_redações_diplomatas'!M:M, 0))</f>
        <v>gpt4o_temp03</v>
      </c>
      <c r="BB14" s="20" t="str">
        <f t="array" ref="BB14">INDEX('metricas_redações_diplomatas'!$C:$C, MATCH(MIN('metricas_redações_diplomatas'!N80:N118),'metricas_redações_diplomatas'!N:N, 0))</f>
        <v>phi_3_mini_temp03</v>
      </c>
      <c r="BC14" s="20" t="str">
        <f t="array" ref="BC14">INDEX('metricas_redações_diplomatas'!$C:$C, MATCH(MIN('metricas_redações_diplomatas'!O80:O118),'metricas_redações_diplomatas'!O:O, 0))</f>
        <v>phi_3_mini_temp03</v>
      </c>
      <c r="BE14" s="19" t="s">
        <v>98</v>
      </c>
      <c r="BF14" s="20" t="str">
        <f t="array" ref="BF14">INDEX('metricas_redações_diplomatas'!$C:$C, MATCH(MIN('metricas_redações_diplomatas'!D119:D157),'metricas_redações_diplomatas'!D:D, 0))</f>
        <v>qwen2_7b_temp03</v>
      </c>
      <c r="BG14" s="20" t="str">
        <f t="array" ref="BG14">INDEX('metricas_redações_diplomatas'!$C:$C, MATCH(MIN('metricas_redações_diplomatas'!E119:E157),'metricas_redações_diplomatas'!E:E, 0))</f>
        <v>qwen2_7b_temp03</v>
      </c>
      <c r="BH14" s="20" t="str">
        <f t="array" ref="BH14">INDEX('metricas_redações_diplomatas'!$C:$C, MATCH(MIN('metricas_redações_diplomatas'!F119:F157),'metricas_redações_diplomatas'!F:F, 0))</f>
        <v>qwen2_7b_temp03</v>
      </c>
      <c r="BI14" s="20" t="str">
        <f t="array" ref="BI14">INDEX('metricas_redações_diplomatas'!$C:$C, MATCH(MIN('metricas_redações_diplomatas'!G119:G157),'metricas_redações_diplomatas'!G:G, 0))</f>
        <v>qwen2_7b_temp03</v>
      </c>
      <c r="BJ14" s="20" t="str">
        <f t="array" ref="BJ14">INDEX('metricas_redações_diplomatas'!$C:$C, MATCH(MIN('metricas_redações_diplomatas'!H119:H157),'metricas_redações_diplomatas'!H:H, 0))</f>
        <v>phi_3.5_vision_temp07</v>
      </c>
      <c r="BK14" s="20" t="str">
        <f t="array" ref="BK14">INDEX('metricas_redações_diplomatas'!$C:$C, MATCH(MIN('metricas_redações_diplomatas'!I119:I157),'metricas_redações_diplomatas'!I:I, 0))</f>
        <v>phi_3_mini_temp03</v>
      </c>
      <c r="BL14" s="20" t="str">
        <f t="array" ref="BL14">INDEX('metricas_redações_diplomatas'!$C:$C, MATCH(MIN('metricas_redações_diplomatas'!J119:J157),'metricas_redações_diplomatas'!J:J, 0))</f>
        <v>phi_3_mini_temp07</v>
      </c>
      <c r="BM14" s="20" t="str">
        <f t="array" ref="BM14">INDEX('metricas_redações_diplomatas'!$C:$C, MATCH(MIN('metricas_redações_diplomatas'!K119:K157),'metricas_redações_diplomatas'!K:K, 0))</f>
        <v>qwen2_7b_temp03</v>
      </c>
      <c r="BN14" s="20" t="str">
        <f t="array" ref="BN14">INDEX('metricas_redações_diplomatas'!$C:$C, MATCH(MIN('metricas_redações_diplomatas'!L119:L157),'metricas_redações_diplomatas'!L:L, 0))</f>
        <v>gpt4o_temp03</v>
      </c>
      <c r="BO14" s="20" t="str">
        <f t="array" ref="BO14">INDEX('metricas_redações_diplomatas'!$C:$C, MATCH(MIN('metricas_redações_diplomatas'!M119:M157),'metricas_redações_diplomatas'!M:M, 0))</f>
        <v>gpt4o_temp03</v>
      </c>
      <c r="BP14" s="20" t="str">
        <f t="array" ref="BP14">INDEX('metricas_redações_diplomatas'!$C:$C, MATCH(MIN('metricas_redações_diplomatas'!N119:N157),'metricas_redações_diplomatas'!N:N, 0))</f>
        <v>phi_3_mini_temp03</v>
      </c>
      <c r="BQ14" s="20" t="str">
        <f t="array" ref="BQ14">INDEX('metricas_redações_diplomatas'!$C:$C, MATCH(MIN('metricas_redações_diplomatas'!O119:O157),'metricas_redações_diplomatas'!O:O, 0))</f>
        <v>phi_3_mini_temp03</v>
      </c>
      <c r="BS14" s="19" t="s">
        <v>98</v>
      </c>
      <c r="BT14" s="20" t="str">
        <f t="array" ref="BT14">INDEX('metricas_redações_diplomatas'!$C:$C, MATCH(MIN('metricas_redações_diplomatas'!D158:D196),'metricas_redações_diplomatas'!D:D, 0))</f>
        <v>qwen2_7b_temp03</v>
      </c>
      <c r="BU14" s="20" t="str">
        <f t="array" ref="BU14">INDEX('metricas_redações_diplomatas'!$C:$C, MATCH(MIN('metricas_redações_diplomatas'!E158:E196),'metricas_redações_diplomatas'!E:E, 0))</f>
        <v>qwen2_7b_temp03</v>
      </c>
      <c r="BV14" s="20" t="str">
        <f t="array" ref="BV14">INDEX('metricas_redações_diplomatas'!$C:$C, MATCH(MIN('metricas_redações_diplomatas'!F158:F196),'metricas_redações_diplomatas'!F:F, 0))</f>
        <v>qwen2_7b_temp03</v>
      </c>
      <c r="BW14" s="20" t="str">
        <f t="array" ref="BW14">INDEX('metricas_redações_diplomatas'!$C:$C, MATCH(MIN('metricas_redações_diplomatas'!G158:G196),'metricas_redações_diplomatas'!G:G, 0))</f>
        <v>qwen2_7b_temp03</v>
      </c>
      <c r="BX14" s="20" t="str">
        <f t="array" ref="BX14">INDEX('metricas_redações_diplomatas'!$C:$C, MATCH(MIN('metricas_redações_diplomatas'!H158:H196),'metricas_redações_diplomatas'!H:H, 0))</f>
        <v>qwen2_7b_temp03</v>
      </c>
      <c r="BY14" s="20" t="str">
        <f t="array" ref="BY14">INDEX('metricas_redações_diplomatas'!$C:$C, MATCH(MIN('metricas_redações_diplomatas'!I158:I196),'metricas_redações_diplomatas'!I:I, 0))</f>
        <v>qwen2_72b_temp07</v>
      </c>
      <c r="BZ14" s="20" t="str">
        <f t="array" ref="BZ14">INDEX('metricas_redações_diplomatas'!$C:$C, MATCH(MIN('metricas_redações_diplomatas'!J158:J196),'metricas_redações_diplomatas'!J:J, 0))</f>
        <v>phi_3.5_vision_temp03</v>
      </c>
      <c r="CA14" s="20" t="str">
        <f t="array" ref="CA14">INDEX('metricas_redações_diplomatas'!$C:$C, MATCH(MIN('metricas_redações_diplomatas'!K158:K196),'metricas_redações_diplomatas'!K:K, 0))</f>
        <v>qwen2_7b_temp03</v>
      </c>
      <c r="CB14" s="20" t="str">
        <f t="array" ref="CB14">INDEX('metricas_redações_diplomatas'!$C:$C, MATCH(MIN('metricas_redações_diplomatas'!L158:L196),'metricas_redações_diplomatas'!L:L, 0))</f>
        <v>gpt4o_temp03</v>
      </c>
      <c r="CC14" s="20" t="str">
        <f t="array" ref="CC14">INDEX('metricas_redações_diplomatas'!$C:$C, MATCH(MIN('metricas_redações_diplomatas'!M158:M196),'metricas_redações_diplomatas'!M:M, 0))</f>
        <v>gpt4o_temp03</v>
      </c>
      <c r="CD14" s="20" t="str">
        <f t="array" ref="CD14">INDEX('metricas_redações_diplomatas'!$C:$C, MATCH(MIN('metricas_redações_diplomatas'!N158:N196),'metricas_redações_diplomatas'!N:N, 0))</f>
        <v>phi_3_mini_temp03</v>
      </c>
      <c r="CE14" s="20" t="str">
        <f t="array" ref="CE14">INDEX('metricas_redações_diplomatas'!$C:$C, MATCH(MIN('metricas_redações_diplomatas'!O158:O196),'metricas_redações_diplomatas'!O:O, 0))</f>
        <v>phi_3_mini_temp03</v>
      </c>
      <c r="CG14" s="19" t="s">
        <v>98</v>
      </c>
      <c r="CH14" s="20" t="str">
        <f t="array" ref="CH14">INDEX('metricas_redações_diplomatas'!$C:$C, MATCH(MIN('metricas_redações_diplomatas'!D197:D235),'metricas_redações_diplomatas'!D:D, 0))</f>
        <v>phi_3_mini_temp03</v>
      </c>
      <c r="CI14" s="20" t="str">
        <f t="array" ref="CI14">INDEX('metricas_redações_diplomatas'!$C:$C, MATCH(MIN('metricas_redações_diplomatas'!E197:E235),'metricas_redações_diplomatas'!E:E, 0))</f>
        <v>qwen2_7b_temp03</v>
      </c>
      <c r="CJ14" s="20" t="str">
        <f t="array" ref="CJ14">INDEX('metricas_redações_diplomatas'!$C:$C, MATCH(MIN('metricas_redações_diplomatas'!F197:F235),'metricas_redações_diplomatas'!F:F, 0))</f>
        <v>qwen2_7b_temp03</v>
      </c>
      <c r="CK14" s="20" t="str">
        <f t="array" ref="CK14">INDEX('metricas_redações_diplomatas'!$C:$C, MATCH(MIN('metricas_redações_diplomatas'!G197:G235),'metricas_redações_diplomatas'!G:G, 0))</f>
        <v>qwen2_7b_temp03</v>
      </c>
      <c r="CL14" s="20" t="str">
        <f t="array" ref="CL14">INDEX('metricas_redações_diplomatas'!$C:$C, MATCH(MIN('metricas_redações_diplomatas'!H197:H235),'metricas_redações_diplomatas'!H:H, 0))</f>
        <v>phi_3.5_vision_temp03</v>
      </c>
      <c r="CM14" s="20" t="str">
        <f t="array" ref="CM14">INDEX('metricas_redações_diplomatas'!$C:$C, MATCH(MIN('metricas_redações_diplomatas'!I197:I235),'metricas_redações_diplomatas'!I:I, 0))</f>
        <v>phi_3_mini_temp03</v>
      </c>
      <c r="CN14" s="20" t="str">
        <f t="array" ref="CN14">INDEX('metricas_redações_diplomatas'!$C:$C, MATCH(MIN('metricas_redações_diplomatas'!J197:J235),'metricas_redações_diplomatas'!J:J, 0))</f>
        <v>phi_3_mini_temp07</v>
      </c>
      <c r="CO14" s="20" t="str">
        <f t="array" ref="CO14">INDEX('metricas_redações_diplomatas'!$C:$C, MATCH(MIN('metricas_redações_diplomatas'!K197:K235),'metricas_redações_diplomatas'!K:K, 0))</f>
        <v>qwen2_7b_temp03</v>
      </c>
      <c r="CP14" s="20" t="str">
        <f t="array" ref="CP14">INDEX('metricas_redações_diplomatas'!$C:$C, MATCH(MIN('metricas_redações_diplomatas'!L197:L235),'metricas_redações_diplomatas'!L:L, 0))</f>
        <v>gpt4o_temp03</v>
      </c>
      <c r="CQ14" s="20" t="str">
        <f t="array" ref="CQ14">INDEX('metricas_redações_diplomatas'!$C:$C, MATCH(MIN('metricas_redações_diplomatas'!M197:M235),'metricas_redações_diplomatas'!M:M, 0))</f>
        <v>gpt4o_temp03</v>
      </c>
      <c r="CR14" s="20" t="str">
        <f t="array" ref="CR14">INDEX('metricas_redações_diplomatas'!$C:$C, MATCH(MIN('metricas_redações_diplomatas'!N197:N235),'metricas_redações_diplomatas'!N:N, 0))</f>
        <v>phi_3_mini_temp03</v>
      </c>
      <c r="CS14" s="20" t="str">
        <f t="array" ref="CS14">INDEX('metricas_redações_diplomatas'!$C:$C, MATCH(MIN('metricas_redações_diplomatas'!O197:O235),'metricas_redações_diplomatas'!O:O, 0))</f>
        <v>phi_3_mini_temp03</v>
      </c>
    </row>
    <row r="16">
      <c r="B16" s="18" t="s">
        <v>3</v>
      </c>
      <c r="C16" s="18" t="s">
        <v>4</v>
      </c>
      <c r="D16" s="18" t="s">
        <v>5</v>
      </c>
      <c r="E16" s="18" t="s">
        <v>6</v>
      </c>
      <c r="F16" s="18" t="s">
        <v>7</v>
      </c>
      <c r="G16" s="18" t="s">
        <v>8</v>
      </c>
      <c r="H16" s="18" t="s">
        <v>9</v>
      </c>
      <c r="I16" s="18" t="s">
        <v>10</v>
      </c>
      <c r="J16" s="18" t="s">
        <v>11</v>
      </c>
      <c r="K16" s="18" t="s">
        <v>12</v>
      </c>
      <c r="L16" s="18" t="s">
        <v>13</v>
      </c>
      <c r="M16" s="18" t="s">
        <v>14</v>
      </c>
      <c r="P16" s="18" t="s">
        <v>3</v>
      </c>
      <c r="Q16" s="18" t="s">
        <v>4</v>
      </c>
      <c r="R16" s="18" t="s">
        <v>5</v>
      </c>
      <c r="S16" s="18" t="s">
        <v>6</v>
      </c>
      <c r="T16" s="18" t="s">
        <v>7</v>
      </c>
      <c r="U16" s="18" t="s">
        <v>8</v>
      </c>
      <c r="V16" s="18" t="s">
        <v>9</v>
      </c>
      <c r="W16" s="18" t="s">
        <v>10</v>
      </c>
      <c r="X16" s="18" t="s">
        <v>11</v>
      </c>
      <c r="Y16" s="18" t="s">
        <v>12</v>
      </c>
      <c r="Z16" s="18" t="s">
        <v>13</v>
      </c>
      <c r="AA16" s="18" t="s">
        <v>14</v>
      </c>
      <c r="AD16" s="18" t="s">
        <v>3</v>
      </c>
      <c r="AE16" s="18" t="s">
        <v>4</v>
      </c>
      <c r="AF16" s="18" t="s">
        <v>5</v>
      </c>
      <c r="AG16" s="18" t="s">
        <v>6</v>
      </c>
      <c r="AH16" s="18" t="s">
        <v>7</v>
      </c>
      <c r="AI16" s="18" t="s">
        <v>8</v>
      </c>
      <c r="AJ16" s="18" t="s">
        <v>9</v>
      </c>
      <c r="AK16" s="18" t="s">
        <v>10</v>
      </c>
      <c r="AL16" s="18" t="s">
        <v>11</v>
      </c>
      <c r="AM16" s="18" t="s">
        <v>12</v>
      </c>
      <c r="AN16" s="18" t="s">
        <v>13</v>
      </c>
      <c r="AO16" s="18" t="s">
        <v>14</v>
      </c>
      <c r="AR16" s="18" t="s">
        <v>3</v>
      </c>
      <c r="AS16" s="18" t="s">
        <v>4</v>
      </c>
      <c r="AT16" s="18" t="s">
        <v>5</v>
      </c>
      <c r="AU16" s="18" t="s">
        <v>6</v>
      </c>
      <c r="AV16" s="18" t="s">
        <v>7</v>
      </c>
      <c r="AW16" s="18" t="s">
        <v>8</v>
      </c>
      <c r="AX16" s="18" t="s">
        <v>9</v>
      </c>
      <c r="AY16" s="18" t="s">
        <v>10</v>
      </c>
      <c r="AZ16" s="18" t="s">
        <v>11</v>
      </c>
      <c r="BA16" s="18" t="s">
        <v>12</v>
      </c>
      <c r="BB16" s="18" t="s">
        <v>13</v>
      </c>
      <c r="BC16" s="18" t="s">
        <v>14</v>
      </c>
      <c r="BF16" s="18" t="s">
        <v>3</v>
      </c>
      <c r="BG16" s="18" t="s">
        <v>4</v>
      </c>
      <c r="BH16" s="18" t="s">
        <v>5</v>
      </c>
      <c r="BI16" s="18" t="s">
        <v>6</v>
      </c>
      <c r="BJ16" s="18" t="s">
        <v>7</v>
      </c>
      <c r="BK16" s="18" t="s">
        <v>8</v>
      </c>
      <c r="BL16" s="18" t="s">
        <v>9</v>
      </c>
      <c r="BM16" s="18" t="s">
        <v>10</v>
      </c>
      <c r="BN16" s="18" t="s">
        <v>11</v>
      </c>
      <c r="BO16" s="18" t="s">
        <v>12</v>
      </c>
      <c r="BP16" s="18" t="s">
        <v>13</v>
      </c>
      <c r="BQ16" s="18" t="s">
        <v>14</v>
      </c>
      <c r="BT16" s="18" t="s">
        <v>3</v>
      </c>
      <c r="BU16" s="18" t="s">
        <v>4</v>
      </c>
      <c r="BV16" s="18" t="s">
        <v>5</v>
      </c>
      <c r="BW16" s="18" t="s">
        <v>6</v>
      </c>
      <c r="BX16" s="18" t="s">
        <v>7</v>
      </c>
      <c r="BY16" s="18" t="s">
        <v>8</v>
      </c>
      <c r="BZ16" s="18" t="s">
        <v>9</v>
      </c>
      <c r="CA16" s="18" t="s">
        <v>10</v>
      </c>
      <c r="CB16" s="18" t="s">
        <v>11</v>
      </c>
      <c r="CC16" s="18" t="s">
        <v>12</v>
      </c>
      <c r="CD16" s="18" t="s">
        <v>13</v>
      </c>
      <c r="CE16" s="18" t="s">
        <v>14</v>
      </c>
      <c r="CH16" s="18" t="s">
        <v>3</v>
      </c>
      <c r="CI16" s="18" t="s">
        <v>4</v>
      </c>
      <c r="CJ16" s="18" t="s">
        <v>5</v>
      </c>
      <c r="CK16" s="18" t="s">
        <v>6</v>
      </c>
      <c r="CL16" s="18" t="s">
        <v>7</v>
      </c>
      <c r="CM16" s="18" t="s">
        <v>8</v>
      </c>
      <c r="CN16" s="18" t="s">
        <v>9</v>
      </c>
      <c r="CO16" s="18" t="s">
        <v>10</v>
      </c>
      <c r="CP16" s="18" t="s">
        <v>11</v>
      </c>
      <c r="CQ16" s="18" t="s">
        <v>12</v>
      </c>
      <c r="CR16" s="18" t="s">
        <v>13</v>
      </c>
      <c r="CS16" s="18" t="s">
        <v>14</v>
      </c>
    </row>
    <row r="17">
      <c r="A17" s="19" t="s">
        <v>98</v>
      </c>
      <c r="B17" s="21">
        <f>MIN('metricas_redações_diplomatas'!D:D)</f>
        <v>0</v>
      </c>
      <c r="C17" s="21">
        <f>MIN('metricas_redações_diplomatas'!E:E)</f>
        <v>0.6503878832</v>
      </c>
      <c r="D17" s="21">
        <f>MIN('metricas_redações_diplomatas'!F:F)</f>
        <v>0.6301312447</v>
      </c>
      <c r="E17" s="21">
        <f>MIN('metricas_redações_diplomatas'!G:G)</f>
        <v>0.6400993466</v>
      </c>
      <c r="F17" s="21">
        <f>MIN('metricas_redações_diplomatas'!H:H)</f>
        <v>0.303630363</v>
      </c>
      <c r="G17" s="21">
        <f>MIN('metricas_redações_diplomatas'!I:I)</f>
        <v>0.05740884407</v>
      </c>
      <c r="H17" s="21">
        <f>MIN('metricas_redações_diplomatas'!J:J)</f>
        <v>0.1379857256</v>
      </c>
      <c r="I17" s="21">
        <f>MIN('metricas_redações_diplomatas'!K:K)</f>
        <v>0.1669316375</v>
      </c>
      <c r="J17" s="21">
        <f>MIN('metricas_redações_diplomatas'!L:L)</f>
        <v>0</v>
      </c>
      <c r="K17" s="21">
        <f>MIN('metricas_redações_diplomatas'!M:M)</f>
        <v>0</v>
      </c>
      <c r="L17" s="21">
        <f>MIN('metricas_redações_diplomatas'!N:N)</f>
        <v>0.7023139</v>
      </c>
      <c r="M17" s="21">
        <f>MIN('metricas_redações_diplomatas'!O:O)</f>
        <v>0.4874948859</v>
      </c>
      <c r="O17" s="19" t="s">
        <v>98</v>
      </c>
      <c r="P17" s="21">
        <f>MIN('metricas_redações_diplomatas'!D2:D40)</f>
        <v>0.01136478916</v>
      </c>
      <c r="Q17" s="21">
        <f>MIN('metricas_redações_diplomatas'!E2:E40)</f>
        <v>0.6696248055</v>
      </c>
      <c r="R17" s="21">
        <f>MIN('metricas_redações_diplomatas'!F2:F40)</f>
        <v>0.6553096175</v>
      </c>
      <c r="S17" s="21">
        <f>MIN('metricas_redações_diplomatas'!G2:G40)</f>
        <v>0.6623898149</v>
      </c>
      <c r="T17" s="21">
        <f>MIN('metricas_redações_diplomatas'!H2:H40)</f>
        <v>0.3108643933</v>
      </c>
      <c r="U17" s="21">
        <f>MIN('metricas_redações_diplomatas'!I2:I40)</f>
        <v>0.09537366548</v>
      </c>
      <c r="V17" s="21">
        <f>MIN('metricas_redações_diplomatas'!J2:J40)</f>
        <v>0.1379857256</v>
      </c>
      <c r="W17" s="21">
        <f>MIN('metricas_redações_diplomatas'!K2:K40)</f>
        <v>0.1669316375</v>
      </c>
      <c r="X17" s="21">
        <f>MIN('metricas_redações_diplomatas'!L2:L40)</f>
        <v>0</v>
      </c>
      <c r="Y17" s="21">
        <f>MIN('metricas_redações_diplomatas'!M2:M40)</f>
        <v>0</v>
      </c>
      <c r="Z17" s="21">
        <f>MIN('metricas_redações_diplomatas'!N2:N40)</f>
        <v>0.7023139</v>
      </c>
      <c r="AA17" s="21">
        <f>MIN('metricas_redações_diplomatas'!O2:O40)</f>
        <v>0.6929934025</v>
      </c>
      <c r="AC17" s="19" t="s">
        <v>98</v>
      </c>
      <c r="AD17" s="21">
        <f>MIN('metricas_redações_diplomatas'!D41:D79)</f>
        <v>0</v>
      </c>
      <c r="AE17" s="21">
        <f>MIN('metricas_redações_diplomatas'!E41:E79)</f>
        <v>0.6503878832</v>
      </c>
      <c r="AF17" s="21">
        <f>MIN('metricas_redações_diplomatas'!F41:F79)</f>
        <v>0.6301312447</v>
      </c>
      <c r="AG17" s="21">
        <f>MIN('metricas_redações_diplomatas'!G41:G79)</f>
        <v>0.6400993466</v>
      </c>
      <c r="AH17" s="21">
        <f>MIN('metricas_redações_diplomatas'!H41:H79)</f>
        <v>0.303630363</v>
      </c>
      <c r="AI17" s="21">
        <f>MIN('metricas_redações_diplomatas'!I41:I79)</f>
        <v>0.05740884407</v>
      </c>
      <c r="AJ17" s="21">
        <f>MIN('metricas_redações_diplomatas'!J41:J79)</f>
        <v>0.1487481591</v>
      </c>
      <c r="AK17" s="21">
        <f>MIN('metricas_redações_diplomatas'!K41:K79)</f>
        <v>0.1888888889</v>
      </c>
      <c r="AL17" s="21">
        <f>MIN('metricas_redações_diplomatas'!L41:L79)</f>
        <v>0</v>
      </c>
      <c r="AM17" s="21">
        <f>MIN('metricas_redações_diplomatas'!M41:M79)</f>
        <v>0</v>
      </c>
      <c r="AN17" s="21">
        <f>MIN('metricas_redações_diplomatas'!N41:N79)</f>
        <v>0.7023139</v>
      </c>
      <c r="AO17" s="21">
        <f>MIN('metricas_redações_diplomatas'!O41:O79)</f>
        <v>0.4874948859</v>
      </c>
      <c r="AQ17" s="19" t="s">
        <v>98</v>
      </c>
      <c r="AR17" s="21">
        <f>MIN('metricas_redações_diplomatas'!D80:D118)</f>
        <v>0.01616586768</v>
      </c>
      <c r="AS17" s="21">
        <f>MIN('metricas_redações_diplomatas'!E80:E118)</f>
        <v>0.6578599215</v>
      </c>
      <c r="AT17" s="21">
        <f>MIN('metricas_redações_diplomatas'!F80:F118)</f>
        <v>0.6455150843</v>
      </c>
      <c r="AU17" s="21">
        <f>MIN('metricas_redações_diplomatas'!G80:G118)</f>
        <v>0.6516290307</v>
      </c>
      <c r="AV17" s="21">
        <f>MIN('metricas_redações_diplomatas'!H80:H118)</f>
        <v>0.3168831169</v>
      </c>
      <c r="AW17" s="21">
        <f>MIN('metricas_redações_diplomatas'!I80:I118)</f>
        <v>0.0763226366</v>
      </c>
      <c r="AX17" s="21">
        <f>MIN('metricas_redações_diplomatas'!J80:J118)</f>
        <v>0.1485319516</v>
      </c>
      <c r="AY17" s="21">
        <f>MIN('metricas_redações_diplomatas'!K80:K118)</f>
        <v>0.1783549784</v>
      </c>
      <c r="AZ17" s="21">
        <f>MIN('metricas_redações_diplomatas'!L80:L118)</f>
        <v>0</v>
      </c>
      <c r="BA17" s="21">
        <f>MIN('metricas_redações_diplomatas'!M80:M118)</f>
        <v>0</v>
      </c>
      <c r="BB17" s="21">
        <f>MIN('metricas_redações_diplomatas'!N80:N118)</f>
        <v>0.7023139</v>
      </c>
      <c r="BC17" s="21">
        <f>MIN('metricas_redações_diplomatas'!O80:O118)</f>
        <v>0.7023139</v>
      </c>
      <c r="BE17" s="19" t="s">
        <v>98</v>
      </c>
      <c r="BF17" s="21">
        <f>MIN('metricas_redações_diplomatas'!D119:D157)</f>
        <v>0</v>
      </c>
      <c r="BG17" s="21">
        <f>MIN('metricas_redações_diplomatas'!E119:E157)</f>
        <v>0.6626288891</v>
      </c>
      <c r="BH17" s="21">
        <f>MIN('metricas_redações_diplomatas'!F119:F157)</f>
        <v>0.6495995522</v>
      </c>
      <c r="BI17" s="21">
        <f>MIN('metricas_redações_diplomatas'!G119:G157)</f>
        <v>0.6560495496</v>
      </c>
      <c r="BJ17" s="21">
        <f>MIN('metricas_redações_diplomatas'!H119:H157)</f>
        <v>0.3404255319</v>
      </c>
      <c r="BK17" s="21">
        <f>MIN('metricas_redações_diplomatas'!I119:I157)</f>
        <v>0.06306306306</v>
      </c>
      <c r="BL17" s="21">
        <f>MIN('metricas_redações_diplomatas'!J119:J157)</f>
        <v>0.1611535199</v>
      </c>
      <c r="BM17" s="21">
        <f>MIN('metricas_redações_diplomatas'!K119:K157)</f>
        <v>0.1883495146</v>
      </c>
      <c r="BN17" s="21">
        <f>MIN('metricas_redações_diplomatas'!L119:L157)</f>
        <v>0</v>
      </c>
      <c r="BO17" s="21">
        <f>MIN('metricas_redações_diplomatas'!M119:M157)</f>
        <v>0</v>
      </c>
      <c r="BP17" s="21">
        <f>MIN('metricas_redações_diplomatas'!N119:N157)</f>
        <v>0.7023139</v>
      </c>
      <c r="BQ17" s="21">
        <f>MIN('metricas_redações_diplomatas'!O119:O157)</f>
        <v>0.7023139</v>
      </c>
      <c r="BS17" s="19" t="s">
        <v>98</v>
      </c>
      <c r="BT17" s="21">
        <f>MIN('metricas_redações_diplomatas'!D158:D196)</f>
        <v>0</v>
      </c>
      <c r="BU17" s="21">
        <f>MIN('metricas_redações_diplomatas'!E158:E196)</f>
        <v>0.6608159542</v>
      </c>
      <c r="BV17" s="21">
        <f>MIN('metricas_redações_diplomatas'!F158:F196)</f>
        <v>0.6451398134</v>
      </c>
      <c r="BW17" s="21">
        <f>MIN('metricas_redações_diplomatas'!G158:G196)</f>
        <v>0.6528837681</v>
      </c>
      <c r="BX17" s="21">
        <f>MIN('metricas_redações_diplomatas'!H158:H196)</f>
        <v>0.3564154786</v>
      </c>
      <c r="BY17" s="21">
        <f>MIN('metricas_redações_diplomatas'!I158:I196)</f>
        <v>0.07935076646</v>
      </c>
      <c r="BZ17" s="21">
        <f>MIN('metricas_redações_diplomatas'!J158:J196)</f>
        <v>0.1624365482</v>
      </c>
      <c r="CA17" s="21">
        <f>MIN('metricas_redações_diplomatas'!K158:K196)</f>
        <v>0.1934826884</v>
      </c>
      <c r="CB17" s="21">
        <f>MIN('metricas_redações_diplomatas'!L158:L196)</f>
        <v>0</v>
      </c>
      <c r="CC17" s="21">
        <f>MIN('metricas_redações_diplomatas'!M158:M196)</f>
        <v>0</v>
      </c>
      <c r="CD17" s="21">
        <f>MIN('metricas_redações_diplomatas'!N158:N196)</f>
        <v>0.7023139</v>
      </c>
      <c r="CE17" s="21">
        <f>MIN('metricas_redações_diplomatas'!O158:O196)</f>
        <v>0.7023139</v>
      </c>
      <c r="CG17" s="19" t="s">
        <v>98</v>
      </c>
      <c r="CH17" s="21">
        <f>MIN('metricas_redações_diplomatas'!D197:D235)</f>
        <v>0.02625525365</v>
      </c>
      <c r="CI17" s="21">
        <f>MIN('metricas_redações_diplomatas'!E197:E235)</f>
        <v>0.6616009474</v>
      </c>
      <c r="CJ17" s="21">
        <f>MIN('metricas_redações_diplomatas'!F197:F235)</f>
        <v>0.6369695067</v>
      </c>
      <c r="CK17" s="21">
        <f>MIN('metricas_redações_diplomatas'!G197:G235)</f>
        <v>0.6490516663</v>
      </c>
      <c r="CL17" s="21">
        <f>MIN('metricas_redações_diplomatas'!H197:H235)</f>
        <v>0.3798882682</v>
      </c>
      <c r="CM17" s="21">
        <f>MIN('metricas_redações_diplomatas'!I197:I235)</f>
        <v>0.09556907037</v>
      </c>
      <c r="CN17" s="21">
        <f>MIN('metricas_redações_diplomatas'!J197:J235)</f>
        <v>0.1672131148</v>
      </c>
      <c r="CO17" s="21">
        <f>MIN('metricas_redações_diplomatas'!K197:K235)</f>
        <v>0.2072829132</v>
      </c>
      <c r="CP17" s="21">
        <f>MIN('metricas_redações_diplomatas'!L197:L235)</f>
        <v>0</v>
      </c>
      <c r="CQ17" s="21">
        <f>MIN('metricas_redações_diplomatas'!M197:M235)</f>
        <v>0</v>
      </c>
      <c r="CR17" s="21">
        <f>MIN('metricas_redações_diplomatas'!N197:N235)</f>
        <v>0.7023139</v>
      </c>
      <c r="CS17" s="21">
        <f>MIN('metricas_redações_diplomatas'!O197:O235)</f>
        <v>0.7023139</v>
      </c>
    </row>
    <row r="20" ht="15.0" customHeight="1">
      <c r="A20" s="22"/>
      <c r="B20" s="23" t="s">
        <v>3</v>
      </c>
      <c r="C20" s="24"/>
      <c r="D20" s="23" t="s">
        <v>4</v>
      </c>
      <c r="E20" s="24"/>
      <c r="F20" s="23" t="s">
        <v>5</v>
      </c>
      <c r="G20" s="24"/>
      <c r="H20" s="23" t="s">
        <v>6</v>
      </c>
      <c r="I20" s="24"/>
      <c r="J20" s="23" t="s">
        <v>7</v>
      </c>
      <c r="K20" s="24"/>
      <c r="L20" s="23" t="s">
        <v>8</v>
      </c>
      <c r="M20" s="24"/>
      <c r="P20" s="25" t="s">
        <v>3</v>
      </c>
      <c r="Q20" s="24"/>
      <c r="R20" s="25" t="s">
        <v>4</v>
      </c>
      <c r="S20" s="24"/>
      <c r="T20" s="25" t="s">
        <v>5</v>
      </c>
      <c r="U20" s="24"/>
      <c r="V20" s="25" t="s">
        <v>6</v>
      </c>
      <c r="W20" s="24"/>
      <c r="X20" s="25" t="s">
        <v>7</v>
      </c>
      <c r="Y20" s="24"/>
      <c r="Z20" s="25" t="s">
        <v>8</v>
      </c>
      <c r="AA20" s="24"/>
      <c r="AD20" s="25" t="s">
        <v>3</v>
      </c>
      <c r="AE20" s="24"/>
      <c r="AF20" s="25" t="s">
        <v>4</v>
      </c>
      <c r="AG20" s="24"/>
      <c r="AH20" s="25" t="s">
        <v>5</v>
      </c>
      <c r="AI20" s="24"/>
      <c r="AJ20" s="25" t="s">
        <v>6</v>
      </c>
      <c r="AK20" s="24"/>
      <c r="AL20" s="25" t="s">
        <v>7</v>
      </c>
      <c r="AM20" s="24"/>
      <c r="AN20" s="25" t="s">
        <v>8</v>
      </c>
      <c r="AO20" s="24"/>
      <c r="AR20" s="25" t="s">
        <v>3</v>
      </c>
      <c r="AS20" s="24"/>
      <c r="AT20" s="25" t="s">
        <v>4</v>
      </c>
      <c r="AU20" s="24"/>
      <c r="AV20" s="25" t="s">
        <v>5</v>
      </c>
      <c r="AW20" s="24"/>
      <c r="AX20" s="25" t="s">
        <v>6</v>
      </c>
      <c r="AY20" s="24"/>
      <c r="AZ20" s="25" t="s">
        <v>7</v>
      </c>
      <c r="BA20" s="24"/>
      <c r="BB20" s="25" t="s">
        <v>8</v>
      </c>
      <c r="BC20" s="24"/>
      <c r="BF20" s="25" t="s">
        <v>3</v>
      </c>
      <c r="BG20" s="24"/>
      <c r="BH20" s="25" t="s">
        <v>4</v>
      </c>
      <c r="BI20" s="24"/>
      <c r="BJ20" s="25" t="s">
        <v>5</v>
      </c>
      <c r="BK20" s="24"/>
      <c r="BL20" s="25" t="s">
        <v>6</v>
      </c>
      <c r="BM20" s="24"/>
      <c r="BN20" s="25" t="s">
        <v>7</v>
      </c>
      <c r="BO20" s="24"/>
      <c r="BP20" s="25" t="s">
        <v>8</v>
      </c>
      <c r="BQ20" s="24"/>
      <c r="BT20" s="25" t="s">
        <v>3</v>
      </c>
      <c r="BU20" s="24"/>
      <c r="BV20" s="25" t="s">
        <v>4</v>
      </c>
      <c r="BW20" s="24"/>
      <c r="BX20" s="25" t="s">
        <v>5</v>
      </c>
      <c r="BY20" s="24"/>
      <c r="BZ20" s="25" t="s">
        <v>6</v>
      </c>
      <c r="CA20" s="24"/>
      <c r="CB20" s="25" t="s">
        <v>7</v>
      </c>
      <c r="CC20" s="24"/>
      <c r="CD20" s="25" t="s">
        <v>8</v>
      </c>
      <c r="CE20" s="24"/>
      <c r="CH20" s="25" t="s">
        <v>3</v>
      </c>
      <c r="CI20" s="24"/>
      <c r="CJ20" s="25" t="s">
        <v>4</v>
      </c>
      <c r="CK20" s="24"/>
      <c r="CL20" s="25" t="s">
        <v>5</v>
      </c>
      <c r="CM20" s="24"/>
      <c r="CN20" s="25" t="s">
        <v>6</v>
      </c>
      <c r="CO20" s="24"/>
      <c r="CP20" s="25" t="s">
        <v>7</v>
      </c>
      <c r="CQ20" s="24"/>
      <c r="CR20" s="25" t="s">
        <v>8</v>
      </c>
      <c r="CS20" s="24"/>
    </row>
    <row r="21" ht="15.75" customHeight="1">
      <c r="A21" s="22"/>
      <c r="B21" s="26" t="s">
        <v>99</v>
      </c>
      <c r="C21" s="26" t="s">
        <v>100</v>
      </c>
      <c r="D21" s="26" t="s">
        <v>99</v>
      </c>
      <c r="E21" s="26" t="s">
        <v>100</v>
      </c>
      <c r="F21" s="26" t="s">
        <v>99</v>
      </c>
      <c r="G21" s="26" t="s">
        <v>100</v>
      </c>
      <c r="H21" s="26" t="s">
        <v>99</v>
      </c>
      <c r="I21" s="26" t="s">
        <v>100</v>
      </c>
      <c r="J21" s="26" t="s">
        <v>99</v>
      </c>
      <c r="K21" s="26" t="s">
        <v>100</v>
      </c>
      <c r="L21" s="26" t="s">
        <v>99</v>
      </c>
      <c r="M21" s="26" t="s">
        <v>100</v>
      </c>
      <c r="P21" s="27" t="s">
        <v>99</v>
      </c>
      <c r="Q21" s="27" t="s">
        <v>100</v>
      </c>
      <c r="R21" s="27" t="s">
        <v>99</v>
      </c>
      <c r="S21" s="27" t="s">
        <v>100</v>
      </c>
      <c r="T21" s="27" t="s">
        <v>99</v>
      </c>
      <c r="U21" s="27" t="s">
        <v>100</v>
      </c>
      <c r="V21" s="27" t="s">
        <v>99</v>
      </c>
      <c r="W21" s="27" t="s">
        <v>100</v>
      </c>
      <c r="X21" s="27" t="s">
        <v>99</v>
      </c>
      <c r="Y21" s="27" t="s">
        <v>100</v>
      </c>
      <c r="Z21" s="27" t="s">
        <v>99</v>
      </c>
      <c r="AA21" s="27" t="s">
        <v>100</v>
      </c>
      <c r="AD21" s="27" t="s">
        <v>99</v>
      </c>
      <c r="AE21" s="27" t="s">
        <v>100</v>
      </c>
      <c r="AF21" s="27" t="s">
        <v>99</v>
      </c>
      <c r="AG21" s="27" t="s">
        <v>100</v>
      </c>
      <c r="AH21" s="27" t="s">
        <v>99</v>
      </c>
      <c r="AI21" s="27" t="s">
        <v>100</v>
      </c>
      <c r="AJ21" s="27" t="s">
        <v>99</v>
      </c>
      <c r="AK21" s="27" t="s">
        <v>100</v>
      </c>
      <c r="AL21" s="27" t="s">
        <v>99</v>
      </c>
      <c r="AM21" s="27" t="s">
        <v>100</v>
      </c>
      <c r="AN21" s="27" t="s">
        <v>99</v>
      </c>
      <c r="AO21" s="27" t="s">
        <v>100</v>
      </c>
      <c r="AR21" s="27" t="s">
        <v>99</v>
      </c>
      <c r="AS21" s="27" t="s">
        <v>100</v>
      </c>
      <c r="AT21" s="27" t="s">
        <v>99</v>
      </c>
      <c r="AU21" s="27" t="s">
        <v>100</v>
      </c>
      <c r="AV21" s="27" t="s">
        <v>99</v>
      </c>
      <c r="AW21" s="27" t="s">
        <v>100</v>
      </c>
      <c r="AX21" s="27" t="s">
        <v>99</v>
      </c>
      <c r="AY21" s="27" t="s">
        <v>100</v>
      </c>
      <c r="AZ21" s="27" t="s">
        <v>99</v>
      </c>
      <c r="BA21" s="27" t="s">
        <v>100</v>
      </c>
      <c r="BB21" s="27" t="s">
        <v>99</v>
      </c>
      <c r="BC21" s="27" t="s">
        <v>100</v>
      </c>
      <c r="BF21" s="27" t="s">
        <v>99</v>
      </c>
      <c r="BG21" s="27" t="s">
        <v>100</v>
      </c>
      <c r="BH21" s="27" t="s">
        <v>99</v>
      </c>
      <c r="BI21" s="27" t="s">
        <v>100</v>
      </c>
      <c r="BJ21" s="27" t="s">
        <v>99</v>
      </c>
      <c r="BK21" s="27" t="s">
        <v>100</v>
      </c>
      <c r="BL21" s="27" t="s">
        <v>99</v>
      </c>
      <c r="BM21" s="27" t="s">
        <v>100</v>
      </c>
      <c r="BN21" s="27" t="s">
        <v>99</v>
      </c>
      <c r="BO21" s="27" t="s">
        <v>100</v>
      </c>
      <c r="BP21" s="27" t="s">
        <v>99</v>
      </c>
      <c r="BQ21" s="27" t="s">
        <v>100</v>
      </c>
      <c r="BT21" s="27" t="s">
        <v>99</v>
      </c>
      <c r="BU21" s="27" t="s">
        <v>100</v>
      </c>
      <c r="BV21" s="27" t="s">
        <v>99</v>
      </c>
      <c r="BW21" s="27" t="s">
        <v>100</v>
      </c>
      <c r="BX21" s="27" t="s">
        <v>99</v>
      </c>
      <c r="BY21" s="27" t="s">
        <v>100</v>
      </c>
      <c r="BZ21" s="27" t="s">
        <v>99</v>
      </c>
      <c r="CA21" s="27" t="s">
        <v>100</v>
      </c>
      <c r="CB21" s="27" t="s">
        <v>99</v>
      </c>
      <c r="CC21" s="27" t="s">
        <v>100</v>
      </c>
      <c r="CD21" s="27" t="s">
        <v>99</v>
      </c>
      <c r="CE21" s="27" t="s">
        <v>100</v>
      </c>
      <c r="CH21" s="27" t="s">
        <v>99</v>
      </c>
      <c r="CI21" s="27" t="s">
        <v>100</v>
      </c>
      <c r="CJ21" s="27" t="s">
        <v>99</v>
      </c>
      <c r="CK21" s="27" t="s">
        <v>100</v>
      </c>
      <c r="CL21" s="27" t="s">
        <v>99</v>
      </c>
      <c r="CM21" s="27" t="s">
        <v>100</v>
      </c>
      <c r="CN21" s="27" t="s">
        <v>99</v>
      </c>
      <c r="CO21" s="27" t="s">
        <v>100</v>
      </c>
      <c r="CP21" s="27" t="s">
        <v>99</v>
      </c>
      <c r="CQ21" s="27" t="s">
        <v>100</v>
      </c>
      <c r="CR21" s="27" t="s">
        <v>99</v>
      </c>
      <c r="CS21" s="27" t="s">
        <v>100</v>
      </c>
    </row>
    <row r="22" ht="15.75" customHeight="1">
      <c r="A22" s="28" t="s">
        <v>101</v>
      </c>
      <c r="B22" s="29">
        <f>MAX(metricas_media!D20:D37)</f>
        <v>0.07699390511</v>
      </c>
      <c r="C22" s="29">
        <f>MAX(metricas_media!D38:D55)</f>
        <v>0.07846316044</v>
      </c>
      <c r="D22" s="29">
        <f>MAX(metricas_media!E20:E37)</f>
        <v>0.7554719448</v>
      </c>
      <c r="E22" s="29">
        <f>MAX(metricas_media!E38:E55)</f>
        <v>0.7661141157</v>
      </c>
      <c r="F22" s="29">
        <f>MAX(metricas_media!F20:F37)</f>
        <v>0.7429813147</v>
      </c>
      <c r="G22" s="29">
        <f>MAX(metricas_media!F38:F55)</f>
        <v>0.7519520521</v>
      </c>
      <c r="H22" s="29">
        <f>MAX(metricas_media!G20:G37)</f>
        <v>0.7491745353</v>
      </c>
      <c r="I22" s="29">
        <f>MAX(metricas_media!G38:G55)</f>
        <v>0.7573109269</v>
      </c>
      <c r="J22" s="29">
        <f>MAX(metricas_media!H20:H37)</f>
        <v>0.4925053533</v>
      </c>
      <c r="K22" s="29">
        <f>MAX(metricas_media!H38:H55)</f>
        <v>0.4945904173</v>
      </c>
      <c r="L22" s="29">
        <f>MAX(metricas_media!I20:I37)</f>
        <v>0.157629256</v>
      </c>
      <c r="M22" s="29">
        <f>MAX(metricas_media!I38:I55)</f>
        <v>0.1630506246</v>
      </c>
      <c r="O22" s="30" t="s">
        <v>101</v>
      </c>
      <c r="P22" s="31">
        <f>MAX(Gemma!D2:D4)</f>
        <v>0.05642314488</v>
      </c>
      <c r="Q22" s="31">
        <f>MAX(Gemma!D5:D7)</f>
        <v>0.05715371884</v>
      </c>
      <c r="R22" s="31">
        <f>MAX(Gemma!E2:E4)</f>
        <v>0.7473039031</v>
      </c>
      <c r="S22" s="31">
        <f>MAX(Gemma!E5:E7)</f>
        <v>0.759619236</v>
      </c>
      <c r="T22" s="31">
        <f>MAX(Gemma!F2:F4)</f>
        <v>0.7374606133</v>
      </c>
      <c r="U22" s="31">
        <f>MAX(Gemma!F5:F7)</f>
        <v>0.7519520521</v>
      </c>
      <c r="V22" s="31">
        <f>MAX(Gemma!G2:G4)</f>
        <v>0.742349565</v>
      </c>
      <c r="W22" s="31">
        <f>MAX(Gemma!G5:G7)</f>
        <v>0.7549893856</v>
      </c>
      <c r="X22" s="31">
        <f>MAX(Gemma!H2:H4)</f>
        <v>0.476070529</v>
      </c>
      <c r="Y22" s="31">
        <f>MAX(Gemma!H5:H7)</f>
        <v>0.4904458599</v>
      </c>
      <c r="Z22" s="31">
        <f>MAX(Gemma!I2:I4)</f>
        <v>0.157629256</v>
      </c>
      <c r="AA22" s="31">
        <f>MAX(Gemma!I5:I7)</f>
        <v>0.1630506246</v>
      </c>
      <c r="AC22" s="30" t="s">
        <v>101</v>
      </c>
      <c r="AD22" s="31">
        <f>MAX(Gemma!$D8:$D10)</f>
        <v>0.03503918578</v>
      </c>
      <c r="AE22" s="31">
        <f>MAX(Gemma!$D11:$D13)</f>
        <v>0.04546954867</v>
      </c>
      <c r="AF22" s="31">
        <f>MAX(Gemma!$E8:$E10)</f>
        <v>0.7242181301</v>
      </c>
      <c r="AG22" s="31">
        <f>MAX(Gemma!$E11:$E13)</f>
        <v>0.7317137122</v>
      </c>
      <c r="AH22" s="31">
        <f>MAX(Gemma!$F8:$F10)</f>
        <v>0.7014703751</v>
      </c>
      <c r="AI22" s="31">
        <f>MAX(Gemma!$F11:$F13)</f>
        <v>0.7093085051</v>
      </c>
      <c r="AJ22" s="31">
        <f>MAX(Gemma!$G8:$G10)</f>
        <v>0.7126627564</v>
      </c>
      <c r="AK22" s="31">
        <f>MAX(Gemma!$G11:$G13)</f>
        <v>0.7201758623</v>
      </c>
      <c r="AL22" s="31">
        <f>MAX(Gemma!$H8:$H10)</f>
        <v>0.4301494477</v>
      </c>
      <c r="AM22" s="31">
        <f>MAX(Gemma!$H11:$H13)</f>
        <v>0.4628533859</v>
      </c>
      <c r="AN22" s="31">
        <f>MAX(Gemma!$I8:$I10)</f>
        <v>0.09973753281</v>
      </c>
      <c r="AO22" s="31">
        <f>MAX(Gemma!$I11:$I13)</f>
        <v>0.1114130435</v>
      </c>
      <c r="AQ22" s="30" t="s">
        <v>101</v>
      </c>
      <c r="AR22" s="31">
        <f>MAX(Gemma!$D14:$D16)</f>
        <v>0.05806338794</v>
      </c>
      <c r="AS22" s="31">
        <f>MAX(Gemma!$D17:$D19)</f>
        <v>0.07846316044</v>
      </c>
      <c r="AT22" s="31">
        <f>MAX(Gemma!$E14:$E16)</f>
        <v>0.7554719448</v>
      </c>
      <c r="AU22" s="31">
        <f>MAX(Gemma!$E17:$E19)</f>
        <v>0.7661141157</v>
      </c>
      <c r="AV22" s="31">
        <f>MAX(Gemma!$F14:$F16)</f>
        <v>0.7429813147</v>
      </c>
      <c r="AW22" s="31">
        <f>MAX(Gemma!$F17:$F19)</f>
        <v>0.7487077117</v>
      </c>
      <c r="AX22" s="31">
        <f>MAX(Gemma!$G14:$G16)</f>
        <v>0.7491745353</v>
      </c>
      <c r="AY22" s="31">
        <f>MAX(Gemma!$G17:$G19)</f>
        <v>0.7573109269</v>
      </c>
      <c r="AZ22" s="31">
        <f>MAX(Gemma!$H14:$H16)</f>
        <v>0.4444444444</v>
      </c>
      <c r="BA22" s="31">
        <f>MAX(Gemma!$H17:$H19)</f>
        <v>0.490797546</v>
      </c>
      <c r="BB22" s="31">
        <f>MAX(Gemma!$I14:$I16)</f>
        <v>0.1210884354</v>
      </c>
      <c r="BC22" s="31">
        <f>MAX(Gemma!$I17:$I19)</f>
        <v>0.1583617747</v>
      </c>
      <c r="BE22" s="30" t="s">
        <v>101</v>
      </c>
      <c r="BF22" s="31">
        <f>MAX(Gemma!$D20:$D22)</f>
        <v>0.05048029758</v>
      </c>
      <c r="BG22" s="31">
        <f>MAX(Gemma!$D23:$D25)</f>
        <v>0.0566783321</v>
      </c>
      <c r="BH22" s="31">
        <f>MAX(Gemma!$E20:$E22)</f>
        <v>0.7384192944</v>
      </c>
      <c r="BI22" s="31">
        <f>MAX(Gemma!$E23:$E25)</f>
        <v>0.7407324314</v>
      </c>
      <c r="BJ22" s="31">
        <f>MAX(Gemma!$F20:$F22)</f>
        <v>0.7295912504</v>
      </c>
      <c r="BK22" s="31">
        <f>MAX(Gemma!$F23:$F25)</f>
        <v>0.7318458557</v>
      </c>
      <c r="BL22" s="31">
        <f>MAX(Gemma!$G20:$G22)</f>
        <v>0.7339787483</v>
      </c>
      <c r="BM22" s="31">
        <f>MAX(Gemma!$G23:$G25)</f>
        <v>0.7362623811</v>
      </c>
      <c r="BN22" s="31">
        <f>MAX(Gemma!$H20:$H22)</f>
        <v>0.4647058824</v>
      </c>
      <c r="BO22" s="31">
        <f>MAX(Gemma!$H23:$H25)</f>
        <v>0.4739195231</v>
      </c>
      <c r="BP22" s="31">
        <f>MAX(Gemma!$I20:$I22)</f>
        <v>0.1134020619</v>
      </c>
      <c r="BQ22" s="31">
        <f>MAX(Gemma!$I23:$I25)</f>
        <v>0.1208955224</v>
      </c>
      <c r="BS22" s="30" t="s">
        <v>101</v>
      </c>
      <c r="BT22" s="31">
        <f>MAX(Gemma!$D26:$D28)</f>
        <v>0.0378842319</v>
      </c>
      <c r="BU22" s="31">
        <f>MAX(Gemma!$D29:$D31)</f>
        <v>0.06697937958</v>
      </c>
      <c r="BV22" s="31">
        <f>MAX(Gemma!$E26:$E28)</f>
        <v>0.7248826027</v>
      </c>
      <c r="BW22" s="31">
        <f>MAX(Gemma!$E29:$E31)</f>
        <v>0.7443972826</v>
      </c>
      <c r="BX22" s="31">
        <f>MAX(Gemma!$F26:$F28)</f>
        <v>0.7145937085</v>
      </c>
      <c r="BY22" s="31">
        <f>MAX(Gemma!$F29:$F31)</f>
        <v>0.7325479388</v>
      </c>
      <c r="BZ22" s="31">
        <f>MAX(Gemma!$G26:$G28)</f>
        <v>0.7197014093</v>
      </c>
      <c r="CA22" s="31">
        <f>MAX(Gemma!$G29:$G31)</f>
        <v>0.7374945283</v>
      </c>
      <c r="CB22" s="31">
        <f>MAX(Gemma!$H26:$H28)</f>
        <v>0.443597561</v>
      </c>
      <c r="CC22" s="31">
        <f>MAX(Gemma!$H29:$H31)</f>
        <v>0.4945904173</v>
      </c>
      <c r="CD22" s="31">
        <f>MAX(Gemma!$I26:$I28)</f>
        <v>0.1094834233</v>
      </c>
      <c r="CE22" s="31">
        <f>MAX(Gemma!$I29:$I31)</f>
        <v>0.1429718876</v>
      </c>
      <c r="CG22" s="30" t="s">
        <v>101</v>
      </c>
      <c r="CH22" s="31">
        <f>MAX(Gemma!$D32:$D34)</f>
        <v>0.07699390511</v>
      </c>
      <c r="CI22" s="31">
        <f>MAX(Gemma!$D35:$D37)</f>
        <v>0.06331949684</v>
      </c>
      <c r="CJ22" s="31">
        <f>MAX(Gemma!$E32:$E34)</f>
        <v>0.7447216511</v>
      </c>
      <c r="CK22" s="31">
        <f>MAX(Gemma!$E35:$E37)</f>
        <v>0.7510455847</v>
      </c>
      <c r="CL22" s="31">
        <f>MAX(Gemma!$F32:$F34)</f>
        <v>0.7184867859</v>
      </c>
      <c r="CM22" s="31">
        <f>MAX(Gemma!$F35:$F37)</f>
        <v>0.7224233747</v>
      </c>
      <c r="CN22" s="31">
        <f>MAX(Gemma!$G32:$G34)</f>
        <v>0.7312207222</v>
      </c>
      <c r="CO22" s="31">
        <f>MAX(Gemma!$G35:$G37)</f>
        <v>0.7363095284</v>
      </c>
      <c r="CP22" s="31">
        <f>MAX(Gemma!$H32:$H34)</f>
        <v>0.4925053533</v>
      </c>
      <c r="CQ22" s="31">
        <f>MAX(Gemma!$H35:$H37)</f>
        <v>0.4865269461</v>
      </c>
      <c r="CR22" s="31">
        <f>MAX(Gemma!$I32:$I34)</f>
        <v>0.1515151515</v>
      </c>
      <c r="CS22" s="31">
        <f>MAX(Gemma!$I35:$I37)</f>
        <v>0.1491672701</v>
      </c>
    </row>
    <row r="23" ht="15.75" customHeight="1">
      <c r="A23" s="28" t="s">
        <v>102</v>
      </c>
      <c r="B23" s="29">
        <f>MAX(metricas_media!D182:D199)</f>
        <v>0.06358276297</v>
      </c>
      <c r="C23" s="29">
        <f>MAX(metricas_media!D37:D200)</f>
        <v>0.1034958841</v>
      </c>
      <c r="D23" s="29">
        <f>MAX(metricas_media!E182:E199)</f>
        <v>0.7582002282</v>
      </c>
      <c r="E23" s="29">
        <f>MAX(metricas_media!E37:E200)</f>
        <v>0.7717890739</v>
      </c>
      <c r="F23" s="29">
        <f>MAX(metricas_media!F182:F199)</f>
        <v>0.7522220612</v>
      </c>
      <c r="G23" s="29">
        <f>MAX(metricas_media!F37:F200)</f>
        <v>0.7522220612</v>
      </c>
      <c r="H23" s="29">
        <f>MAX(metricas_media!G182:G199)</f>
        <v>0.7534637451</v>
      </c>
      <c r="I23" s="29">
        <f>MAX(metricas_media!G37:G200)</f>
        <v>0.7573109269</v>
      </c>
      <c r="J23" s="29">
        <f>MAX(metricas_media!H182:H199)</f>
        <v>0.446031746</v>
      </c>
      <c r="K23" s="29">
        <f>MAX(metricas_media!H37:H200)</f>
        <v>0.5310059715</v>
      </c>
      <c r="L23" s="29">
        <f>MAX(metricas_media!I182:I199)</f>
        <v>0.1301482702</v>
      </c>
      <c r="M23" s="29">
        <f>MAX(metricas_media!I37:I200)</f>
        <v>0.1791530945</v>
      </c>
      <c r="O23" s="30" t="s">
        <v>102</v>
      </c>
      <c r="P23" s="31">
        <f>MAX(Qwen!D2:D4)</f>
        <v>0.04927634658</v>
      </c>
      <c r="Q23" s="31">
        <f>MAX(Qwen!D5:D7)</f>
        <v>0.02209940734</v>
      </c>
      <c r="R23" s="31">
        <f>MAX(Qwen!E2:E4)</f>
        <v>0.7547094822</v>
      </c>
      <c r="S23" s="31">
        <f>MAX(Qwen!E5:E7)</f>
        <v>0.743416667</v>
      </c>
      <c r="T23" s="31">
        <f>MAX(Qwen!F2:F4)</f>
        <v>0.7522220612</v>
      </c>
      <c r="U23" s="31">
        <f>MAX(Qwen!F5:F7)</f>
        <v>0.7239258885</v>
      </c>
      <c r="V23" s="31">
        <f>MAX(Qwen!G2:G4)</f>
        <v>0.7534637451</v>
      </c>
      <c r="W23" s="31">
        <f>MAX(Qwen!G5:G7)</f>
        <v>0.7335417867</v>
      </c>
      <c r="X23" s="31">
        <f>MAX(Qwen!H2:H4)</f>
        <v>0.4146510021</v>
      </c>
      <c r="Y23" s="31">
        <f>MAX(Qwen!H5:H7)</f>
        <v>0.3575248281</v>
      </c>
      <c r="Z23" s="31">
        <f>MAX(Qwen!I2:I4)</f>
        <v>0.1285198556</v>
      </c>
      <c r="AA23" s="31">
        <f>MAX(Qwen!I5:I7)</f>
        <v>0.1071155318</v>
      </c>
      <c r="AC23" s="30" t="s">
        <v>102</v>
      </c>
      <c r="AD23" s="31">
        <f>MAX(Qwen!$D8:$D10)</f>
        <v>0.03226442944</v>
      </c>
      <c r="AE23" s="31">
        <f>MAX(Qwen!$D11:$D13)</f>
        <v>0.01748016817</v>
      </c>
      <c r="AF23" s="31">
        <f>MAX(Qwen!$E8:$E10)</f>
        <v>0.7390693426</v>
      </c>
      <c r="AG23" s="31">
        <f>MAX(Qwen!$E11:$E13)</f>
        <v>0.7443844676</v>
      </c>
      <c r="AH23" s="31">
        <f>MAX(Qwen!$F8:$F10)</f>
        <v>0.716193676</v>
      </c>
      <c r="AI23" s="31">
        <f>MAX(Qwen!$F11:$F13)</f>
        <v>0.7032968998</v>
      </c>
      <c r="AJ23" s="31">
        <f>MAX(Qwen!$G8:$G10)</f>
        <v>0.7274516821</v>
      </c>
      <c r="AK23" s="31">
        <f>MAX(Qwen!$G11:$G13)</f>
        <v>0.7232575417</v>
      </c>
      <c r="AL23" s="31">
        <f>MAX(Qwen!$H8:$H10)</f>
        <v>0.3762517883</v>
      </c>
      <c r="AM23" s="31">
        <f>MAX(Qwen!$H11:$H13)</f>
        <v>0.3380952381</v>
      </c>
      <c r="AN23" s="31">
        <f>MAX(Qwen!$I8:$I10)</f>
        <v>0.1050295858</v>
      </c>
      <c r="AO23" s="31">
        <f>MAX(Qwen!$I11:$I13)</f>
        <v>0.09220985692</v>
      </c>
      <c r="AQ23" s="30" t="s">
        <v>102</v>
      </c>
      <c r="AR23" s="31">
        <f>MAX(Qwen!$D14:$D16)</f>
        <v>0.06080253054</v>
      </c>
      <c r="AS23" s="31">
        <f>MAX(Qwen!$D17:$D19)</f>
        <v>0.02899039689</v>
      </c>
      <c r="AT23" s="31">
        <f>MAX(Qwen!$E14:$E16)</f>
        <v>0.7582002282</v>
      </c>
      <c r="AU23" s="31">
        <f>MAX(Qwen!$E17:$E19)</f>
        <v>0.7465027571</v>
      </c>
      <c r="AV23" s="31">
        <f>MAX(Qwen!$F14:$F16)</f>
        <v>0.745423317</v>
      </c>
      <c r="AW23" s="31">
        <f>MAX(Qwen!$F17:$F19)</f>
        <v>0.7204043865</v>
      </c>
      <c r="AX23" s="31">
        <f>MAX(Qwen!$G14:$G16)</f>
        <v>0.7517575026</v>
      </c>
      <c r="AY23" s="31">
        <f>MAX(Qwen!$G17:$G19)</f>
        <v>0.7332214117</v>
      </c>
      <c r="AZ23" s="31">
        <f>MAX(Qwen!$H14:$H16)</f>
        <v>0.4151785714</v>
      </c>
      <c r="BA23" s="31">
        <f>MAX(Qwen!$H17:$H19)</f>
        <v>0.3565505804</v>
      </c>
      <c r="BB23" s="31">
        <f>MAX(Qwen!$I14:$I16)</f>
        <v>0.1093990755</v>
      </c>
      <c r="BC23" s="31">
        <f>MAX(Qwen!$I17:$I19)</f>
        <v>0.1029900332</v>
      </c>
      <c r="BE23" s="30" t="s">
        <v>102</v>
      </c>
      <c r="BF23" s="31">
        <f>MAX(Qwen!$D20:$D22)</f>
        <v>0.05430985409</v>
      </c>
      <c r="BG23" s="31">
        <f>MAX(Qwen!$D23:$D25)</f>
        <v>0.01918365084</v>
      </c>
      <c r="BH23" s="31">
        <f>MAX(Qwen!$E20:$E22)</f>
        <v>0.738704145</v>
      </c>
      <c r="BI23" s="31">
        <f>MAX(Qwen!$E23:$E25)</f>
        <v>0.7364626527</v>
      </c>
      <c r="BJ23" s="31">
        <f>MAX(Qwen!$F20:$F22)</f>
        <v>0.7313975096</v>
      </c>
      <c r="BK23" s="31">
        <f>MAX(Qwen!$F23:$F25)</f>
        <v>0.7173216939</v>
      </c>
      <c r="BL23" s="31">
        <f>MAX(Qwen!$G20:$G22)</f>
        <v>0.732750535</v>
      </c>
      <c r="BM23" s="31">
        <f>MAX(Qwen!$G23:$G25)</f>
        <v>0.7267661095</v>
      </c>
      <c r="BN23" s="31">
        <f>MAX(Qwen!$H20:$H22)</f>
        <v>0.4380639869</v>
      </c>
      <c r="BO23" s="31">
        <f>MAX(Qwen!$H23:$H25)</f>
        <v>0.3774283071</v>
      </c>
      <c r="BP23" s="31">
        <f>MAX(Qwen!$I20:$I22)</f>
        <v>0.1035332786</v>
      </c>
      <c r="BQ23" s="31">
        <f>MAX(Qwen!$I23:$I25)</f>
        <v>0.09823911029</v>
      </c>
      <c r="BS23" s="30" t="s">
        <v>102</v>
      </c>
      <c r="BT23" s="31">
        <f>MAX(Qwen!$D26:$D28)</f>
        <v>0.06358276297</v>
      </c>
      <c r="BU23" s="31">
        <f>MAX(Qwen!$D29:$D31)</f>
        <v>0.02724526911</v>
      </c>
      <c r="BV23" s="31">
        <f>MAX(Qwen!$E26:$E28)</f>
        <v>0.7491736412</v>
      </c>
      <c r="BW23" s="31">
        <f>MAX(Qwen!$E29:$E31)</f>
        <v>0.7449666858</v>
      </c>
      <c r="BX23" s="31">
        <f>MAX(Qwen!$F26:$F28)</f>
        <v>0.7357031107</v>
      </c>
      <c r="BY23" s="31">
        <f>MAX(Qwen!$F29:$F31)</f>
        <v>0.7274115086</v>
      </c>
      <c r="BZ23" s="31">
        <f>MAX(Qwen!$G26:$G28)</f>
        <v>0.7423772812</v>
      </c>
      <c r="CA23" s="31">
        <f>MAX(Qwen!$G29:$G31)</f>
        <v>0.7360844612</v>
      </c>
      <c r="CB23" s="31">
        <f>MAX(Qwen!$H26:$H28)</f>
        <v>0.4372331341</v>
      </c>
      <c r="CC23" s="31">
        <f>MAX(Qwen!$H29:$H31)</f>
        <v>0.4143272023</v>
      </c>
      <c r="CD23" s="31">
        <f>MAX(Qwen!$I26:$I28)</f>
        <v>0.1102222222</v>
      </c>
      <c r="CE23" s="31">
        <f>MAX(Qwen!$I29:$I31)</f>
        <v>0.1066925315</v>
      </c>
      <c r="CG23" s="30" t="s">
        <v>102</v>
      </c>
      <c r="CH23" s="31">
        <f>MAX(Qwen!$D32:$D34)</f>
        <v>0.05691796563</v>
      </c>
      <c r="CI23" s="31">
        <f>MAX(Qwen!$D35:$D37)</f>
        <v>0.03338654572</v>
      </c>
      <c r="CJ23" s="31">
        <f>MAX(Qwen!$E32:$E34)</f>
        <v>0.7448868752</v>
      </c>
      <c r="CK23" s="31">
        <f>MAX(Qwen!$E35:$E37)</f>
        <v>0.7460365295</v>
      </c>
      <c r="CL23" s="31">
        <f>MAX(Qwen!$F32:$F34)</f>
        <v>0.7201639414</v>
      </c>
      <c r="CM23" s="31">
        <f>MAX(Qwen!$F35:$F37)</f>
        <v>0.7021343112</v>
      </c>
      <c r="CN23" s="31">
        <f>MAX(Qwen!$G32:$G34)</f>
        <v>0.731367588</v>
      </c>
      <c r="CO23" s="31">
        <f>MAX(Qwen!$G35:$G37)</f>
        <v>0.7234199047</v>
      </c>
      <c r="CP23" s="31">
        <f>MAX(Qwen!$H32:$H34)</f>
        <v>0.446031746</v>
      </c>
      <c r="CQ23" s="31">
        <f>MAX(Qwen!$H35:$H37)</f>
        <v>0.4135472371</v>
      </c>
      <c r="CR23" s="31">
        <f>MAX(Qwen!$I32:$I34)</f>
        <v>0.1301482702</v>
      </c>
      <c r="CS23" s="31">
        <f>MAX(Qwen!$I35:$I37)</f>
        <v>0.1464285714</v>
      </c>
    </row>
    <row r="24" ht="15.75" customHeight="1">
      <c r="A24" s="28" t="s">
        <v>103</v>
      </c>
      <c r="B24" s="29">
        <f>MAX(metricas_media!D74:D91)</f>
        <v>0.08439635495</v>
      </c>
      <c r="C24" s="29">
        <f>MAX(metricas_media!D92:D109)</f>
        <v>0.07264104421</v>
      </c>
      <c r="D24" s="29">
        <f>MAX(metricas_media!E74:E91)</f>
        <v>0.7717890739</v>
      </c>
      <c r="E24" s="29">
        <f>MAX(metricas_media!E92:E109)</f>
        <v>0.7445049286</v>
      </c>
      <c r="F24" s="29">
        <f>MAX(metricas_media!F74:F91)</f>
        <v>0.7428248525</v>
      </c>
      <c r="G24" s="29">
        <f>MAX(metricas_media!F92:F109)</f>
        <v>0.7351837158</v>
      </c>
      <c r="H24" s="29">
        <f>MAX(metricas_media!G74:G91)</f>
        <v>0.7517881393</v>
      </c>
      <c r="I24" s="29">
        <f>MAX(metricas_media!G92:G109)</f>
        <v>0.7388604879</v>
      </c>
      <c r="J24" s="29">
        <f>MAX(metricas_media!H74:H91)</f>
        <v>0.5159972771</v>
      </c>
      <c r="K24" s="29">
        <f>MAX(metricas_media!H92:H109)</f>
        <v>0.5285913529</v>
      </c>
      <c r="L24" s="29">
        <f>MAX(metricas_media!I74:I91)</f>
        <v>0.1622358555</v>
      </c>
      <c r="M24" s="29">
        <f>MAX(metricas_media!I92:I109)</f>
        <v>0.1553113553</v>
      </c>
      <c r="O24" s="30" t="s">
        <v>103</v>
      </c>
      <c r="P24" s="31">
        <f>MAX(Llama!D2:D4)</f>
        <v>0.06646623445</v>
      </c>
      <c r="Q24" s="31">
        <f>MAX(Llama!D5:D7)</f>
        <v>0.06213828964</v>
      </c>
      <c r="R24" s="31">
        <f>MAX(Llama!E2:E4)</f>
        <v>0.747900784</v>
      </c>
      <c r="S24" s="31">
        <f>MAX(Llama!E5:E7)</f>
        <v>0.7425742149</v>
      </c>
      <c r="T24" s="31">
        <f>MAX(Llama!F2:F4)</f>
        <v>0.7358570099</v>
      </c>
      <c r="U24" s="31">
        <f>MAX(Llama!F5:F7)</f>
        <v>0.7351837158</v>
      </c>
      <c r="V24" s="31">
        <f>MAX(Llama!G2:G4)</f>
        <v>0.7401899099</v>
      </c>
      <c r="W24" s="31">
        <f>MAX(Llama!G5:G7)</f>
        <v>0.7388604879</v>
      </c>
      <c r="X24" s="31">
        <f>MAX(Llama!H2:H4)</f>
        <v>0.4758454106</v>
      </c>
      <c r="Y24" s="31">
        <f>MAX(Llama!H5:H7)</f>
        <v>0.4861196792</v>
      </c>
      <c r="Z24" s="31">
        <f>MAX(Llama!I2:I4)</f>
        <v>0.1390568319</v>
      </c>
      <c r="AA24" s="31">
        <f>MAX(Llama!I5:I7)</f>
        <v>0.1353887399</v>
      </c>
      <c r="AC24" s="30" t="s">
        <v>103</v>
      </c>
      <c r="AD24" s="31">
        <f>MAX(Llama!$D8:$D10)</f>
        <v>0.0401854843</v>
      </c>
      <c r="AE24" s="31">
        <f>MAX(Llama!$D11:$D13)</f>
        <v>0.02341262797</v>
      </c>
      <c r="AF24" s="31">
        <f>MAX(Llama!$E8:$E10)</f>
        <v>0.7247536182</v>
      </c>
      <c r="AG24" s="31">
        <f>MAX(Llama!$E11:$E13)</f>
        <v>0.719951272</v>
      </c>
      <c r="AH24" s="31">
        <f>MAX(Llama!$F8:$F10)</f>
        <v>0.7000766397</v>
      </c>
      <c r="AI24" s="31">
        <f>MAX(Llama!$F11:$F13)</f>
        <v>0.6979568601</v>
      </c>
      <c r="AJ24" s="31">
        <f>MAX(Llama!$G8:$G10)</f>
        <v>0.7099775076</v>
      </c>
      <c r="AK24" s="31">
        <f>MAX(Llama!$G11:$G13)</f>
        <v>0.7087834477</v>
      </c>
      <c r="AL24" s="31">
        <f>MAX(Llama!$H8:$H10)</f>
        <v>0.4306160548</v>
      </c>
      <c r="AM24" s="31">
        <f>MAX(Llama!$H11:$H13)</f>
        <v>0.4605597964</v>
      </c>
      <c r="AN24" s="31">
        <f>MAX(Llama!$I8:$I10)</f>
        <v>0.108411215</v>
      </c>
      <c r="AO24" s="31">
        <f>MAX(Llama!$I11:$I13)</f>
        <v>0.1067221067</v>
      </c>
      <c r="AQ24" s="30" t="s">
        <v>103</v>
      </c>
      <c r="AR24" s="31">
        <f>MAX(Llama!$D14:$D16)</f>
        <v>0.07296654213</v>
      </c>
      <c r="AS24" s="31">
        <f>MAX(Llama!$D17:$D19)</f>
        <v>0.07264104421</v>
      </c>
      <c r="AT24" s="31">
        <f>MAX(Llama!$E14:$E16)</f>
        <v>0.7717890739</v>
      </c>
      <c r="AU24" s="31">
        <f>MAX(Llama!$E17:$E19)</f>
        <v>0.7445049286</v>
      </c>
      <c r="AV24" s="31">
        <f>MAX(Llama!$F14:$F16)</f>
        <v>0.7428248525</v>
      </c>
      <c r="AW24" s="31">
        <f>MAX(Llama!$F17:$F19)</f>
        <v>0.7309196591</v>
      </c>
      <c r="AX24" s="31">
        <f>MAX(Llama!$G14:$G16)</f>
        <v>0.7517881393</v>
      </c>
      <c r="AY24" s="31">
        <f>MAX(Llama!$G17:$G19)</f>
        <v>0.7376497984</v>
      </c>
      <c r="AZ24" s="31">
        <f>MAX(Llama!$H14:$H16)</f>
        <v>0.5009658725</v>
      </c>
      <c r="BA24" s="31">
        <f>MAX(Llama!$H17:$H19)</f>
        <v>0.4940711462</v>
      </c>
      <c r="BB24" s="31">
        <f>MAX(Llama!$I14:$I16)</f>
        <v>0.140274765</v>
      </c>
      <c r="BC24" s="31">
        <f>MAX(Llama!$I17:$I19)</f>
        <v>0.1345646438</v>
      </c>
      <c r="BE24" s="30" t="s">
        <v>103</v>
      </c>
      <c r="BF24" s="31">
        <f>MAX(Llama!$D20:$D22)</f>
        <v>0.06355853792</v>
      </c>
      <c r="BG24" s="31">
        <f>MAX(Llama!$D23:$D25)</f>
        <v>0.04073393334</v>
      </c>
      <c r="BH24" s="31">
        <f>MAX(Llama!$E20:$E22)</f>
        <v>0.7458691001</v>
      </c>
      <c r="BI24" s="31">
        <f>MAX(Llama!$E23:$E25)</f>
        <v>0.7278452516</v>
      </c>
      <c r="BJ24" s="31">
        <f>MAX(Llama!$F20:$F22)</f>
        <v>0.7280188799</v>
      </c>
      <c r="BK24" s="31">
        <f>MAX(Llama!$F23:$F25)</f>
        <v>0.7156917453</v>
      </c>
      <c r="BL24" s="31">
        <f>MAX(Llama!$G20:$G22)</f>
        <v>0.7326013446</v>
      </c>
      <c r="BM24" s="31">
        <f>MAX(Llama!$G23:$G25)</f>
        <v>0.721717298</v>
      </c>
      <c r="BN24" s="31">
        <f>MAX(Llama!$H20:$H22)</f>
        <v>0.4607843137</v>
      </c>
      <c r="BO24" s="31">
        <f>MAX(Llama!$H23:$H25)</f>
        <v>0.4536970567</v>
      </c>
      <c r="BP24" s="31">
        <f>MAX(Llama!$I20:$I22)</f>
        <v>0.1244094488</v>
      </c>
      <c r="BQ24" s="31">
        <f>MAX(Llama!$I23:$I25)</f>
        <v>0.1057401813</v>
      </c>
      <c r="BS24" s="30" t="s">
        <v>103</v>
      </c>
      <c r="BT24" s="31">
        <f>MAX(Llama!$D26:$D28)</f>
        <v>0.08439635495</v>
      </c>
      <c r="BU24" s="31">
        <f>MAX(Llama!$D29:$D31)</f>
        <v>0.06080751727</v>
      </c>
      <c r="BV24" s="31">
        <f>MAX(Llama!$E26:$E28)</f>
        <v>0.7468957901</v>
      </c>
      <c r="BW24" s="31">
        <f>MAX(Llama!$E29:$E31)</f>
        <v>0.7293891907</v>
      </c>
      <c r="BX24" s="31">
        <f>MAX(Llama!$F26:$F28)</f>
        <v>0.7293275595</v>
      </c>
      <c r="BY24" s="31">
        <f>MAX(Llama!$F29:$F31)</f>
        <v>0.7193130851</v>
      </c>
      <c r="BZ24" s="31">
        <f>MAX(Llama!$G26:$G28)</f>
        <v>0.7377573848</v>
      </c>
      <c r="CA24" s="31">
        <f>MAX(Llama!$G29:$G31)</f>
        <v>0.7243161201</v>
      </c>
      <c r="CB24" s="31">
        <f>MAX(Llama!$H26:$H28)</f>
        <v>0.4722222222</v>
      </c>
      <c r="CC24" s="31">
        <f>MAX(Llama!$H29:$H31)</f>
        <v>0.4773082942</v>
      </c>
      <c r="CD24" s="31">
        <f>MAX(Llama!$I26:$I28)</f>
        <v>0.1522094926</v>
      </c>
      <c r="CE24" s="31">
        <f>MAX(Llama!$I29:$I31)</f>
        <v>0.1325390916</v>
      </c>
      <c r="CG24" s="30" t="s">
        <v>103</v>
      </c>
      <c r="CH24" s="31">
        <f>MAX(Llama!$D32:$D34)</f>
        <v>0.07157389728</v>
      </c>
      <c r="CI24" s="31">
        <f>MAX(Llama!$D35:$D37)</f>
        <v>0.0688850023</v>
      </c>
      <c r="CJ24" s="31">
        <f>MAX(Llama!$E32:$E34)</f>
        <v>0.756121397</v>
      </c>
      <c r="CK24" s="31">
        <f>MAX(Llama!$E35:$E37)</f>
        <v>0.7333757281</v>
      </c>
      <c r="CL24" s="31">
        <f>MAX(Llama!$F32:$F34)</f>
        <v>0.7238390446</v>
      </c>
      <c r="CM24" s="31">
        <f>MAX(Llama!$F35:$F37)</f>
        <v>0.7182697058</v>
      </c>
      <c r="CN24" s="31">
        <f>MAX(Llama!$G32:$G34)</f>
        <v>0.7360864878</v>
      </c>
      <c r="CO24" s="31">
        <f>MAX(Llama!$G35:$G37)</f>
        <v>0.7257441878</v>
      </c>
      <c r="CP24" s="31">
        <f>MAX(Llama!$H32:$H34)</f>
        <v>0.5159972771</v>
      </c>
      <c r="CQ24" s="31">
        <f>MAX(Llama!$H35:$H37)</f>
        <v>0.5285913529</v>
      </c>
      <c r="CR24" s="31">
        <f>MAX(Llama!$I32:$I34)</f>
        <v>0.1622358555</v>
      </c>
      <c r="CS24" s="31">
        <f>MAX(Llama!$I35:$I37)</f>
        <v>0.1553113553</v>
      </c>
    </row>
    <row r="25" ht="15.75" customHeight="1">
      <c r="A25" s="28" t="s">
        <v>104</v>
      </c>
      <c r="B25" s="29">
        <f>MAX(metricas_media!D110:D127)</f>
        <v>0.071974486</v>
      </c>
      <c r="C25" s="29">
        <f>MAX(metricas_media!D128:D145)</f>
        <v>0.07518806065</v>
      </c>
      <c r="D25" s="29">
        <f>MAX(metricas_media!E110:E127)</f>
        <v>0.7639557123</v>
      </c>
      <c r="E25" s="29">
        <f>MAX(metricas_media!E128:E145)</f>
        <v>0.7526096702</v>
      </c>
      <c r="F25" s="29">
        <f>MAX(metricas_media!F110:F127)</f>
        <v>0.743821919</v>
      </c>
      <c r="G25" s="29">
        <f>MAX(metricas_media!F128:F145)</f>
        <v>0.7429741621</v>
      </c>
      <c r="H25" s="29">
        <f>MAX(metricas_media!G110:G127)</f>
        <v>0.7537543774</v>
      </c>
      <c r="I25" s="29">
        <f>MAX(metricas_media!G128:G145)</f>
        <v>0.7422341704</v>
      </c>
      <c r="J25" s="29">
        <f>MAX(metricas_media!H110:H127)</f>
        <v>0.4839467502</v>
      </c>
      <c r="K25" s="29">
        <f>MAX(metricas_media!H128:H145)</f>
        <v>0.509406657</v>
      </c>
      <c r="L25" s="29">
        <f>MAX(metricas_media!I110:I127)</f>
        <v>0.1490196078</v>
      </c>
      <c r="M25" s="29">
        <f>MAX(metricas_media!I128:I145)</f>
        <v>0.162568306</v>
      </c>
      <c r="O25" s="30" t="s">
        <v>104</v>
      </c>
      <c r="P25" s="31">
        <f>MAX(Mixtral!D2:D4)</f>
        <v>0.07048777766</v>
      </c>
      <c r="Q25" s="31">
        <f>MAX(Mixtral!D5:D7)</f>
        <v>0.05413406391</v>
      </c>
      <c r="R25" s="31">
        <f>MAX(Mixtral!E2:E4)</f>
        <v>0.7639557123</v>
      </c>
      <c r="S25" s="31">
        <f>MAX(Mixtral!E5:E7)</f>
        <v>0.7446399927</v>
      </c>
      <c r="T25" s="31">
        <f>MAX(Mixtral!F2:F4)</f>
        <v>0.743821919</v>
      </c>
      <c r="U25" s="31">
        <f>MAX(Mixtral!F5:F7)</f>
        <v>0.7421348095</v>
      </c>
      <c r="V25" s="31">
        <f>MAX(Mixtral!G2:G4)</f>
        <v>0.7537543774</v>
      </c>
      <c r="W25" s="31">
        <f>MAX(Mixtral!G5:G7)</f>
        <v>0.7381910682</v>
      </c>
      <c r="X25" s="31">
        <f>MAX(Mixtral!H2:H4)</f>
        <v>0.4471968709</v>
      </c>
      <c r="Y25" s="31">
        <f>MAX(Mixtral!H5:H7)</f>
        <v>0.4665391969</v>
      </c>
      <c r="Z25" s="31">
        <f>MAX(Mixtral!I2:I4)</f>
        <v>0.1436031332</v>
      </c>
      <c r="AA25" s="31">
        <f>MAX(Mixtral!I5:I7)</f>
        <v>0.1340140396</v>
      </c>
      <c r="AC25" s="30" t="s">
        <v>104</v>
      </c>
      <c r="AD25" s="31">
        <f>MAX(Mixtral!$D8:$D10)</f>
        <v>0.04568224054</v>
      </c>
      <c r="AE25" s="31">
        <f>MAX(Mixtral!$D11:$D13)</f>
        <v>0.0378653199</v>
      </c>
      <c r="AF25" s="31">
        <f>MAX(Mixtral!$E8:$E10)</f>
        <v>0.7391147017</v>
      </c>
      <c r="AG25" s="31">
        <f>MAX(Mixtral!$E11:$E13)</f>
        <v>0.7263250351</v>
      </c>
      <c r="AH25" s="31">
        <f>MAX(Mixtral!$F8:$F10)</f>
        <v>0.7071280479</v>
      </c>
      <c r="AI25" s="31">
        <f>MAX(Mixtral!$F11:$F13)</f>
        <v>0.7058015466</v>
      </c>
      <c r="AJ25" s="31">
        <f>MAX(Mixtral!$G8:$G10)</f>
        <v>0.7213140726</v>
      </c>
      <c r="AK25" s="31">
        <f>MAX(Mixtral!$G11:$G13)</f>
        <v>0.7143249512</v>
      </c>
      <c r="AL25" s="31">
        <f>MAX(Mixtral!$H8:$H10)</f>
        <v>0.4067340067</v>
      </c>
      <c r="AM25" s="31">
        <f>MAX(Mixtral!$H11:$H13)</f>
        <v>0.4447368421</v>
      </c>
      <c r="AN25" s="31">
        <f>MAX(Mixtral!$I8:$I10)</f>
        <v>0.1160651097</v>
      </c>
      <c r="AO25" s="31">
        <f>MAX(Mixtral!$I11:$I13)</f>
        <v>0.1146245059</v>
      </c>
      <c r="AQ25" s="30" t="s">
        <v>104</v>
      </c>
      <c r="AR25" s="31">
        <f>MAX(Mixtral!$D14:$D16)</f>
        <v>0.071974486</v>
      </c>
      <c r="AS25" s="31">
        <f>MAX(Mixtral!$D17:$D19)</f>
        <v>0.07518806065</v>
      </c>
      <c r="AT25" s="31">
        <f>MAX(Mixtral!$E14:$E16)</f>
        <v>0.7533427477</v>
      </c>
      <c r="AU25" s="31">
        <f>MAX(Mixtral!$E17:$E19)</f>
        <v>0.7526096702</v>
      </c>
      <c r="AV25" s="31">
        <f>MAX(Mixtral!$F14:$F16)</f>
        <v>0.7369365692</v>
      </c>
      <c r="AW25" s="31">
        <f>MAX(Mixtral!$F17:$F19)</f>
        <v>0.7429741621</v>
      </c>
      <c r="AX25" s="31">
        <f>MAX(Mixtral!$G14:$G16)</f>
        <v>0.7450493574</v>
      </c>
      <c r="AY25" s="31">
        <f>MAX(Mixtral!$G17:$G19)</f>
        <v>0.7422341704</v>
      </c>
      <c r="AZ25" s="31">
        <f>MAX(Mixtral!$H14:$H16)</f>
        <v>0.4526083762</v>
      </c>
      <c r="BA25" s="31">
        <f>MAX(Mixtral!$H17:$H19)</f>
        <v>0.5088676671</v>
      </c>
      <c r="BB25" s="31">
        <f>MAX(Mixtral!$I14:$I16)</f>
        <v>0.1442236939</v>
      </c>
      <c r="BC25" s="31">
        <f>MAX(Mixtral!$I17:$I19)</f>
        <v>0.162568306</v>
      </c>
      <c r="BE25" s="30" t="s">
        <v>104</v>
      </c>
      <c r="BF25" s="31">
        <f>MAX(Mixtral!$D20:$D22)</f>
        <v>0.04699337309</v>
      </c>
      <c r="BG25" s="31">
        <f>MAX(Mixtral!$D23:$D25)</f>
        <v>0.03910941429</v>
      </c>
      <c r="BH25" s="31">
        <f>MAX(Mixtral!$E20:$E22)</f>
        <v>0.7512554526</v>
      </c>
      <c r="BI25" s="31">
        <f>MAX(Mixtral!$E23:$E25)</f>
        <v>0.7373515964</v>
      </c>
      <c r="BJ25" s="31">
        <f>MAX(Mixtral!$F20:$F22)</f>
        <v>0.7317150831</v>
      </c>
      <c r="BK25" s="31">
        <f>MAX(Mixtral!$F23:$F25)</f>
        <v>0.7280318141</v>
      </c>
      <c r="BL25" s="31">
        <f>MAX(Mixtral!$G20:$G22)</f>
        <v>0.7396807671</v>
      </c>
      <c r="BM25" s="31">
        <f>MAX(Mixtral!$G23:$G25)</f>
        <v>0.7311500311</v>
      </c>
      <c r="BN25" s="31">
        <f>MAX(Mixtral!$H20:$H22)</f>
        <v>0.4395099541</v>
      </c>
      <c r="BO25" s="31">
        <f>MAX(Mixtral!$H23:$H25)</f>
        <v>0.4533929903</v>
      </c>
      <c r="BP25" s="31">
        <f>MAX(Mixtral!$I20:$I22)</f>
        <v>0.1135972461</v>
      </c>
      <c r="BQ25" s="31">
        <f>MAX(Mixtral!$I23:$I25)</f>
        <v>0.1075429425</v>
      </c>
      <c r="BS25" s="30" t="s">
        <v>104</v>
      </c>
      <c r="BT25" s="31">
        <f>MAX(Mixtral!$D26:$D28)</f>
        <v>0.06893928876</v>
      </c>
      <c r="BU25" s="31">
        <f>MAX(Mixtral!$D29:$D31)</f>
        <v>0.06326950485</v>
      </c>
      <c r="BV25" s="31">
        <f>MAX(Mixtral!$E26:$E28)</f>
        <v>0.7527706623</v>
      </c>
      <c r="BW25" s="31">
        <f>MAX(Mixtral!$E29:$E31)</f>
        <v>0.7318432927</v>
      </c>
      <c r="BX25" s="31">
        <f>MAX(Mixtral!$F26:$F28)</f>
        <v>0.7340310216</v>
      </c>
      <c r="BY25" s="31">
        <f>MAX(Mixtral!$F29:$F31)</f>
        <v>0.7246726751</v>
      </c>
      <c r="BZ25" s="31">
        <f>MAX(Mixtral!$G26:$G28)</f>
        <v>0.7432827353</v>
      </c>
      <c r="CA25" s="31">
        <f>MAX(Mixtral!$G29:$G31)</f>
        <v>0.7236930728</v>
      </c>
      <c r="CB25" s="31">
        <f>MAX(Mixtral!$H26:$H28)</f>
        <v>0.4749103943</v>
      </c>
      <c r="CC25" s="31">
        <f>MAX(Mixtral!$H29:$H31)</f>
        <v>0.4671307038</v>
      </c>
      <c r="CD25" s="31">
        <f>MAX(Mixtral!$I26:$I28)</f>
        <v>0.1364452424</v>
      </c>
      <c r="CE25" s="31">
        <f>MAX(Mixtral!$I29:$I31)</f>
        <v>0.1192873741</v>
      </c>
      <c r="CG25" s="30" t="s">
        <v>104</v>
      </c>
      <c r="CH25" s="31">
        <f>MAX(Mixtral!$D32:$D34)</f>
        <v>0.05322999794</v>
      </c>
      <c r="CI25" s="31">
        <f>MAX(Mixtral!$D35:$D37)</f>
        <v>0.05489401562</v>
      </c>
      <c r="CJ25" s="31">
        <f>MAX(Mixtral!$E32:$E34)</f>
        <v>0.7536808252</v>
      </c>
      <c r="CK25" s="31">
        <f>MAX(Mixtral!$E35:$E37)</f>
        <v>0.7342669964</v>
      </c>
      <c r="CL25" s="31">
        <f>MAX(Mixtral!$F32:$F34)</f>
        <v>0.725504458</v>
      </c>
      <c r="CM25" s="31">
        <f>MAX(Mixtral!$F35:$F37)</f>
        <v>0.7174278498</v>
      </c>
      <c r="CN25" s="31">
        <f>MAX(Mixtral!$G32:$G34)</f>
        <v>0.7377933264</v>
      </c>
      <c r="CO25" s="31">
        <f>MAX(Mixtral!$G35:$G37)</f>
        <v>0.723067522</v>
      </c>
      <c r="CP25" s="31">
        <f>MAX(Mixtral!$H32:$H34)</f>
        <v>0.4839467502</v>
      </c>
      <c r="CQ25" s="31">
        <f>MAX(Mixtral!$H35:$H37)</f>
        <v>0.509406657</v>
      </c>
      <c r="CR25" s="31">
        <f>MAX(Mixtral!$I32:$I34)</f>
        <v>0.1490196078</v>
      </c>
      <c r="CS25" s="31">
        <f>MAX(Mixtral!$I35:$I37)</f>
        <v>0.1536231884</v>
      </c>
    </row>
    <row r="26" ht="15.75" customHeight="1">
      <c r="A26" s="28" t="s">
        <v>105</v>
      </c>
      <c r="B26" s="29">
        <f>MAX(metricas_media!D146:D163)</f>
        <v>0.0326827247</v>
      </c>
      <c r="C26" s="29">
        <f>MAX(metricas_media!D164:D181)</f>
        <v>0.03799755315</v>
      </c>
      <c r="D26" s="29">
        <f>MAX(metricas_media!E146:E163)</f>
        <v>0.7632457018</v>
      </c>
      <c r="E26" s="29">
        <f>MAX(metricas_media!E164:E181)</f>
        <v>0.7505068779</v>
      </c>
      <c r="F26" s="29">
        <f>MAX(metricas_media!F146:F163)</f>
        <v>0.7336876392</v>
      </c>
      <c r="G26" s="29">
        <f>MAX(metricas_media!F164:F181)</f>
        <v>0.737336576</v>
      </c>
      <c r="H26" s="29">
        <f>MAX(metricas_media!G146:G163)</f>
        <v>0.7469176054</v>
      </c>
      <c r="I26" s="29">
        <f>MAX(metricas_media!G164:G181)</f>
        <v>0.7414541245</v>
      </c>
      <c r="J26" s="29">
        <f>MAX(metricas_media!H146:H163)</f>
        <v>0.4046345811</v>
      </c>
      <c r="K26" s="29">
        <f>MAX(metricas_media!H164:H181)</f>
        <v>0.4262295082</v>
      </c>
      <c r="L26" s="29">
        <f>MAX(metricas_media!I146:I163)</f>
        <v>0.1343283582</v>
      </c>
      <c r="M26" s="29">
        <f>MAX(metricas_media!I164:I181)</f>
        <v>0.1314237574</v>
      </c>
      <c r="O26" s="30" t="s">
        <v>105</v>
      </c>
      <c r="P26" s="31">
        <f>MAX(Phi!D2:D4)</f>
        <v>0.0123323046</v>
      </c>
      <c r="Q26" s="31">
        <f>MAX(Phi!D5:D7)</f>
        <v>0.02298249085</v>
      </c>
      <c r="R26" s="31">
        <f>MAX(Phi!E2:E4)</f>
        <v>0.752769649</v>
      </c>
      <c r="S26" s="31">
        <f>MAX(Phi!E5:E7)</f>
        <v>0.746188879</v>
      </c>
      <c r="T26" s="31">
        <f>MAX(Phi!F2:F4)</f>
        <v>0.7336876392</v>
      </c>
      <c r="U26" s="31">
        <f>MAX(Phi!F5:F7)</f>
        <v>0.737336576</v>
      </c>
      <c r="V26" s="31">
        <f>MAX(Phi!G2:G4)</f>
        <v>0.7431061268</v>
      </c>
      <c r="W26" s="31">
        <f>MAX(Phi!G5:G7)</f>
        <v>0.7414541245</v>
      </c>
      <c r="X26" s="31">
        <f>MAX(Phi!H2:H4)</f>
        <v>0.3223834989</v>
      </c>
      <c r="Y26" s="31">
        <f>MAX(Phi!H5:H7)</f>
        <v>0.3611940299</v>
      </c>
      <c r="Z26" s="31">
        <f>MAX(Phi!I2:I4)</f>
        <v>0.1064336775</v>
      </c>
      <c r="AA26" s="31">
        <f>MAX(Phi!I5:I7)</f>
        <v>0.1016442451</v>
      </c>
      <c r="AC26" s="30" t="s">
        <v>105</v>
      </c>
      <c r="AD26" s="31">
        <f>MAX(Phi!$D8:$D10)</f>
        <v>0.01170943431</v>
      </c>
      <c r="AE26" s="31">
        <f>MAX(Phi!$D11:$D13)</f>
        <v>0.02348984273</v>
      </c>
      <c r="AF26" s="31">
        <f>MAX(Phi!$E8:$E10)</f>
        <v>0.738474369</v>
      </c>
      <c r="AG26" s="31">
        <f>MAX(Phi!$E11:$E13)</f>
        <v>0.7359343767</v>
      </c>
      <c r="AH26" s="31">
        <f>MAX(Phi!$F8:$F10)</f>
        <v>0.7016978264</v>
      </c>
      <c r="AI26" s="31">
        <f>MAX(Phi!$F11:$F13)</f>
        <v>0.7057843208</v>
      </c>
      <c r="AJ26" s="31">
        <f>MAX(Phi!$G8:$G10)</f>
        <v>0.7196165323</v>
      </c>
      <c r="AK26" s="31">
        <f>MAX(Phi!$G11:$G13)</f>
        <v>0.7170186639</v>
      </c>
      <c r="AL26" s="31">
        <f>MAX(Phi!$H8:$H10)</f>
        <v>0.3222222222</v>
      </c>
      <c r="AM26" s="31">
        <f>MAX(Phi!$H11:$H13)</f>
        <v>0.3460972018</v>
      </c>
      <c r="AN26" s="31">
        <f>MAX(Phi!$I8:$I10)</f>
        <v>0.08595041322</v>
      </c>
      <c r="AO26" s="31">
        <f>MAX(Phi!$I11:$I13)</f>
        <v>0.08112094395</v>
      </c>
      <c r="AQ26" s="30" t="s">
        <v>105</v>
      </c>
      <c r="AR26" s="31">
        <f>MAX(Phi!$D14:$D16)</f>
        <v>0.02053894991</v>
      </c>
      <c r="AS26" s="31">
        <f>MAX(Phi!$D17:$D19)</f>
        <v>0.03456928323</v>
      </c>
      <c r="AT26" s="31">
        <f>MAX(Phi!$E14:$E16)</f>
        <v>0.7632457018</v>
      </c>
      <c r="AU26" s="31">
        <f>MAX(Phi!$E17:$E19)</f>
        <v>0.7505068779</v>
      </c>
      <c r="AV26" s="31">
        <f>MAX(Phi!$F14:$F16)</f>
        <v>0.7312734723</v>
      </c>
      <c r="AW26" s="31">
        <f>MAX(Phi!$F17:$F19)</f>
        <v>0.7323743105</v>
      </c>
      <c r="AX26" s="31">
        <f>MAX(Phi!$G14:$G16)</f>
        <v>0.7469176054</v>
      </c>
      <c r="AY26" s="31">
        <f>MAX(Phi!$G17:$G19)</f>
        <v>0.7379523516</v>
      </c>
      <c r="AZ26" s="31">
        <f>MAX(Phi!$H14:$H16)</f>
        <v>0.35986733</v>
      </c>
      <c r="BA26" s="31">
        <f>MAX(Phi!$H17:$H19)</f>
        <v>0.4006284368</v>
      </c>
      <c r="BB26" s="31">
        <f>MAX(Phi!$I14:$I16)</f>
        <v>0.107266436</v>
      </c>
      <c r="BC26" s="31">
        <f>MAX(Phi!$I17:$I19)</f>
        <v>0.1211644375</v>
      </c>
      <c r="BE26" s="30" t="s">
        <v>105</v>
      </c>
      <c r="BF26" s="31">
        <f>MAX(Phi!$D20:$D22)</f>
        <v>0.01527891216</v>
      </c>
      <c r="BG26" s="31">
        <f>MAX(Phi!$D23:$D25)</f>
        <v>0.0236275804</v>
      </c>
      <c r="BH26" s="31">
        <f>MAX(Phi!$E20:$E22)</f>
        <v>0.7392860651</v>
      </c>
      <c r="BI26" s="31">
        <f>MAX(Phi!$E23:$E25)</f>
        <v>0.7368090153</v>
      </c>
      <c r="BJ26" s="31">
        <f>MAX(Phi!$F20:$F22)</f>
        <v>0.7178995013</v>
      </c>
      <c r="BK26" s="31">
        <f>MAX(Phi!$F23:$F25)</f>
        <v>0.7264883518</v>
      </c>
      <c r="BL26" s="31">
        <f>MAX(Phi!$G20:$G22)</f>
        <v>0.728435874</v>
      </c>
      <c r="BM26" s="31">
        <f>MAX(Phi!$G23:$G25)</f>
        <v>0.7305383682</v>
      </c>
      <c r="BN26" s="31">
        <f>MAX(Phi!$H20:$H22)</f>
        <v>0.3504356244</v>
      </c>
      <c r="BO26" s="31">
        <f>MAX(Phi!$H23:$H25)</f>
        <v>0.3797909408</v>
      </c>
      <c r="BP26" s="31">
        <f>MAX(Phi!$I20:$I22)</f>
        <v>0.08897126969</v>
      </c>
      <c r="BQ26" s="31">
        <f>MAX(Phi!$I23:$I25)</f>
        <v>0.0849617672</v>
      </c>
      <c r="BS26" s="30" t="s">
        <v>105</v>
      </c>
      <c r="BT26" s="31">
        <f>MAX(Phi!$D26:$D28)</f>
        <v>0.0326827247</v>
      </c>
      <c r="BU26" s="31">
        <f>MAX(Phi!$D29:$D31)</f>
        <v>0.03799755315</v>
      </c>
      <c r="BV26" s="31">
        <f>MAX(Phi!$E26:$E28)</f>
        <v>0.7410961986</v>
      </c>
      <c r="BW26" s="31">
        <f>MAX(Phi!$E29:$E31)</f>
        <v>0.7417626977</v>
      </c>
      <c r="BX26" s="31">
        <f>MAX(Phi!$F26:$F28)</f>
        <v>0.7141155601</v>
      </c>
      <c r="BY26" s="31">
        <f>MAX(Phi!$F29:$F31)</f>
        <v>0.7264969945</v>
      </c>
      <c r="BZ26" s="31">
        <f>MAX(Phi!$G26:$G28)</f>
        <v>0.7273557782</v>
      </c>
      <c r="CA26" s="31">
        <f>MAX(Phi!$G29:$G31)</f>
        <v>0.7322291136</v>
      </c>
      <c r="CB26" s="31">
        <f>MAX(Phi!$H26:$H28)</f>
        <v>0.3794772507</v>
      </c>
      <c r="CC26" s="31">
        <f>MAX(Phi!$H29:$H31)</f>
        <v>0.4003759398</v>
      </c>
      <c r="CD26" s="31">
        <f>MAX(Phi!$I26:$I28)</f>
        <v>0.1222114452</v>
      </c>
      <c r="CE26" s="31">
        <f>MAX(Phi!$I29:$I31)</f>
        <v>0.1202185792</v>
      </c>
      <c r="CG26" s="30" t="s">
        <v>105</v>
      </c>
      <c r="CH26" s="31">
        <f>MAX(Phi!$D32:$D34)</f>
        <v>0.02809783876</v>
      </c>
      <c r="CI26" s="31">
        <f>MAX(Phi!$D35:$D37)</f>
        <v>0.03491308472</v>
      </c>
      <c r="CJ26" s="31">
        <f>MAX(Phi!$E32:$E34)</f>
        <v>0.7521703243</v>
      </c>
      <c r="CK26" s="31">
        <f>MAX(Phi!$E35:$E37)</f>
        <v>0.737011075</v>
      </c>
      <c r="CL26" s="31">
        <f>MAX(Phi!$F32:$F34)</f>
        <v>0.7175021172</v>
      </c>
      <c r="CM26" s="31">
        <f>MAX(Phi!$F35:$F37)</f>
        <v>0.7220664024</v>
      </c>
      <c r="CN26" s="31">
        <f>MAX(Phi!$G32:$G34)</f>
        <v>0.7344273329</v>
      </c>
      <c r="CO26" s="31">
        <f>MAX(Phi!$G35:$G37)</f>
        <v>0.7285074592</v>
      </c>
      <c r="CP26" s="31">
        <f>MAX(Phi!$H32:$H34)</f>
        <v>0.4046345811</v>
      </c>
      <c r="CQ26" s="31">
        <f>MAX(Phi!$H35:$H37)</f>
        <v>0.4262295082</v>
      </c>
      <c r="CR26" s="31">
        <f>MAX(Phi!$I32:$I34)</f>
        <v>0.1343283582</v>
      </c>
      <c r="CS26" s="31">
        <f>MAX(Phi!$I35:$I37)</f>
        <v>0.1314237574</v>
      </c>
    </row>
    <row r="27" ht="15.0" customHeight="1">
      <c r="A27" s="32" t="s">
        <v>106</v>
      </c>
      <c r="B27" s="33">
        <f t="shared" ref="B27:B31" si="1">SUM(B22, -C22)</f>
        <v>-0.001469255332</v>
      </c>
      <c r="C27" s="24"/>
      <c r="D27" s="33">
        <f t="shared" ref="D27:D31" si="2">SUM(D22, -E22)</f>
        <v>-0.01064217091</v>
      </c>
      <c r="E27" s="24"/>
      <c r="F27" s="33">
        <f t="shared" ref="F27:F31" si="3">SUM(F22, -G22)</f>
        <v>-0.008970737457</v>
      </c>
      <c r="G27" s="24"/>
      <c r="H27" s="33">
        <f t="shared" ref="H27:H31" si="4">SUM(H22, -I22)</f>
        <v>-0.00813639164</v>
      </c>
      <c r="I27" s="24"/>
      <c r="J27" s="33">
        <f t="shared" ref="J27:J31" si="5">SUM(J22, -K22)</f>
        <v>-0.002085063992</v>
      </c>
      <c r="K27" s="24"/>
      <c r="L27" s="33">
        <f t="shared" ref="L27:L31" si="6">SUM(L22, -M22)</f>
        <v>-0.005421368599</v>
      </c>
      <c r="M27" s="24"/>
      <c r="O27" s="34" t="s">
        <v>106</v>
      </c>
      <c r="P27" s="35">
        <f t="shared" ref="P27:P31" si="7">SUM(P22, -Q22)</f>
        <v>-0.0007305739586</v>
      </c>
      <c r="Q27" s="24"/>
      <c r="R27" s="35">
        <f t="shared" ref="R27:R31" si="8">SUM(R22, -S22)</f>
        <v>-0.01231533289</v>
      </c>
      <c r="S27" s="24"/>
      <c r="T27" s="35">
        <f t="shared" ref="T27:T31" si="9">SUM(T22, -U22)</f>
        <v>-0.01449143887</v>
      </c>
      <c r="U27" s="24"/>
      <c r="V27" s="35">
        <f t="shared" ref="V27:V31" si="10">SUM(V22, -W22)</f>
        <v>-0.01263982058</v>
      </c>
      <c r="W27" s="24"/>
      <c r="X27" s="35">
        <f t="shared" ref="X27:X31" si="11">SUM(X22, -Y22)</f>
        <v>-0.01437533091</v>
      </c>
      <c r="Y27" s="24"/>
      <c r="Z27" s="35">
        <f t="shared" ref="Z27:Z31" si="12">SUM(Z22, -AA22)</f>
        <v>-0.005421368599</v>
      </c>
      <c r="AA27" s="24"/>
      <c r="AC27" s="34" t="s">
        <v>106</v>
      </c>
      <c r="AD27" s="35">
        <f t="shared" ref="AD27:AD31" si="13">SUM(AD22, -AE22)</f>
        <v>-0.01043036289</v>
      </c>
      <c r="AE27" s="24"/>
      <c r="AF27" s="35">
        <f t="shared" ref="AF27:AF31" si="14">SUM(AF22, -AG22)</f>
        <v>-0.007495582104</v>
      </c>
      <c r="AG27" s="24"/>
      <c r="AH27" s="35">
        <f t="shared" ref="AH27:AH31" si="15">SUM(AH22, -AI22)</f>
        <v>-0.007838129997</v>
      </c>
      <c r="AI27" s="24"/>
      <c r="AJ27" s="35">
        <f t="shared" ref="AJ27:AJ31" si="16">SUM(AJ22, -AK22)</f>
        <v>-0.007513105869</v>
      </c>
      <c r="AK27" s="24"/>
      <c r="AL27" s="35">
        <f t="shared" ref="AL27:AL31" si="17">SUM(AL22, -AM22)</f>
        <v>-0.03270393824</v>
      </c>
      <c r="AM27" s="24"/>
      <c r="AN27" s="35">
        <f t="shared" ref="AN27:AN31" si="18">SUM(AN22, -AO22)</f>
        <v>-0.01167551067</v>
      </c>
      <c r="AO27" s="24"/>
      <c r="AQ27" s="34" t="s">
        <v>106</v>
      </c>
      <c r="AR27" s="35">
        <f t="shared" ref="AR27:AR31" si="19">SUM(AR22, -AS22)</f>
        <v>-0.02039977251</v>
      </c>
      <c r="AS27" s="24"/>
      <c r="AT27" s="35">
        <f t="shared" ref="AT27:AT31" si="20">SUM(AT22, -AU22)</f>
        <v>-0.01064217091</v>
      </c>
      <c r="AU27" s="24"/>
      <c r="AV27" s="35">
        <f t="shared" ref="AV27:AV31" si="21">SUM(AV22, -AW22)</f>
        <v>-0.005726397038</v>
      </c>
      <c r="AW27" s="24"/>
      <c r="AX27" s="35">
        <f t="shared" ref="AX27:AX31" si="22">SUM(AX22, -AY22)</f>
        <v>-0.00813639164</v>
      </c>
      <c r="AY27" s="24"/>
      <c r="AZ27" s="35">
        <f t="shared" ref="AZ27:AZ31" si="23">SUM(AZ22, -BA22)</f>
        <v>-0.04635310157</v>
      </c>
      <c r="BA27" s="24"/>
      <c r="BB27" s="35">
        <f t="shared" ref="BB27:BB31" si="24">SUM(BB22, -BC22)</f>
        <v>-0.03727333937</v>
      </c>
      <c r="BC27" s="24"/>
      <c r="BE27" s="34" t="s">
        <v>106</v>
      </c>
      <c r="BF27" s="35">
        <f t="shared" ref="BF27:BF31" si="25">SUM(BF22, -BG22)</f>
        <v>-0.006198034516</v>
      </c>
      <c r="BG27" s="24"/>
      <c r="BH27" s="35">
        <f t="shared" ref="BH27:BH31" si="26">SUM(BH22, -BI22)</f>
        <v>-0.002313137054</v>
      </c>
      <c r="BI27" s="24"/>
      <c r="BJ27" s="35">
        <f t="shared" ref="BJ27:BJ31" si="27">SUM(BJ22, -BK22)</f>
        <v>-0.002254605293</v>
      </c>
      <c r="BK27" s="24"/>
      <c r="BL27" s="35">
        <f t="shared" ref="BL27:BL31" si="28">SUM(BL22, -BM22)</f>
        <v>-0.002283632755</v>
      </c>
      <c r="BM27" s="24"/>
      <c r="BN27" s="35">
        <f t="shared" ref="BN27:BN31" si="29">SUM(BN22, -BO22)</f>
        <v>-0.009213640747</v>
      </c>
      <c r="BO27" s="24"/>
      <c r="BP27" s="35">
        <f t="shared" ref="BP27:BP31" si="30">SUM(BP22, -BQ22)</f>
        <v>-0.007493460532</v>
      </c>
      <c r="BQ27" s="24"/>
      <c r="BS27" s="34" t="s">
        <v>106</v>
      </c>
      <c r="BT27" s="35">
        <f t="shared" ref="BT27:BT31" si="31">SUM(BT22, -BU22)</f>
        <v>-0.02909514768</v>
      </c>
      <c r="BU27" s="24"/>
      <c r="BV27" s="35">
        <f t="shared" ref="BV27:BV31" si="32">SUM(BV22, -BW22)</f>
        <v>-0.01951467991</v>
      </c>
      <c r="BW27" s="24"/>
      <c r="BX27" s="35">
        <f t="shared" ref="BX27:BX31" si="33">SUM(BX22, -BY22)</f>
        <v>-0.01795423031</v>
      </c>
      <c r="BY27" s="24"/>
      <c r="BZ27" s="35">
        <f t="shared" ref="BZ27:BZ31" si="34">SUM(BZ22, -CA22)</f>
        <v>-0.01779311895</v>
      </c>
      <c r="CA27" s="24"/>
      <c r="CB27" s="35">
        <f t="shared" ref="CB27:CB31" si="35">SUM(CB22, -CC22)</f>
        <v>-0.05099285634</v>
      </c>
      <c r="CC27" s="24"/>
      <c r="CD27" s="35">
        <f t="shared" ref="CD27:CD31" si="36">SUM(CD22, -CE22)</f>
        <v>-0.03348846427</v>
      </c>
      <c r="CE27" s="24"/>
      <c r="CG27" s="34" t="s">
        <v>106</v>
      </c>
      <c r="CH27" s="35">
        <f t="shared" ref="CH27:CH31" si="37">SUM(CH22, -CI22)</f>
        <v>0.01367440827</v>
      </c>
      <c r="CI27" s="24"/>
      <c r="CJ27" s="35">
        <f t="shared" ref="CJ27:CJ31" si="38">SUM(CJ22, -CK22)</f>
        <v>-0.006323933601</v>
      </c>
      <c r="CK27" s="24"/>
      <c r="CL27" s="35">
        <f t="shared" ref="CL27:CL31" si="39">SUM(CL22, -CM22)</f>
        <v>-0.003936588764</v>
      </c>
      <c r="CM27" s="24"/>
      <c r="CN27" s="35">
        <f t="shared" ref="CN27:CN31" si="40">SUM(CN22, -CO22)</f>
        <v>-0.005088806152</v>
      </c>
      <c r="CO27" s="24"/>
      <c r="CP27" s="35">
        <f t="shared" ref="CP27:CP31" si="41">SUM(CP22, -CQ22)</f>
        <v>0.005978407211</v>
      </c>
      <c r="CQ27" s="24"/>
      <c r="CR27" s="35">
        <f t="shared" ref="CR27:CR31" si="42">SUM(CR22, -CS22)</f>
        <v>0.002347881421</v>
      </c>
      <c r="CS27" s="24"/>
    </row>
    <row r="28" ht="15.75" customHeight="1">
      <c r="A28" s="36"/>
      <c r="B28" s="33">
        <f t="shared" si="1"/>
        <v>-0.03991312115</v>
      </c>
      <c r="C28" s="24"/>
      <c r="D28" s="33">
        <f t="shared" si="2"/>
        <v>-0.01358884573</v>
      </c>
      <c r="E28" s="24"/>
      <c r="F28" s="33">
        <f t="shared" si="3"/>
        <v>0</v>
      </c>
      <c r="G28" s="24"/>
      <c r="H28" s="33">
        <f t="shared" si="4"/>
        <v>-0.003847181797</v>
      </c>
      <c r="I28" s="24"/>
      <c r="J28" s="33">
        <f t="shared" si="5"/>
        <v>-0.08497422549</v>
      </c>
      <c r="K28" s="24"/>
      <c r="L28" s="33">
        <f t="shared" si="6"/>
        <v>-0.04900482428</v>
      </c>
      <c r="M28" s="24"/>
      <c r="O28" s="36"/>
      <c r="P28" s="35">
        <f t="shared" si="7"/>
        <v>0.02717693924</v>
      </c>
      <c r="Q28" s="24"/>
      <c r="R28" s="35">
        <f t="shared" si="8"/>
        <v>0.01129281521</v>
      </c>
      <c r="S28" s="24"/>
      <c r="T28" s="35">
        <f t="shared" si="9"/>
        <v>0.02829617262</v>
      </c>
      <c r="U28" s="24"/>
      <c r="V28" s="35">
        <f t="shared" si="10"/>
        <v>0.01992195845</v>
      </c>
      <c r="W28" s="24"/>
      <c r="X28" s="35">
        <f t="shared" si="11"/>
        <v>0.05712617396</v>
      </c>
      <c r="Y28" s="24"/>
      <c r="Z28" s="35">
        <f t="shared" si="12"/>
        <v>0.02140432384</v>
      </c>
      <c r="AA28" s="24"/>
      <c r="AC28" s="36"/>
      <c r="AD28" s="35">
        <f t="shared" si="13"/>
        <v>0.01478426126</v>
      </c>
      <c r="AE28" s="24"/>
      <c r="AF28" s="35">
        <f t="shared" si="14"/>
        <v>-0.005315124989</v>
      </c>
      <c r="AG28" s="24"/>
      <c r="AH28" s="35">
        <f t="shared" si="15"/>
        <v>0.0128967762</v>
      </c>
      <c r="AI28" s="24"/>
      <c r="AJ28" s="35">
        <f t="shared" si="16"/>
        <v>0.004194140434</v>
      </c>
      <c r="AK28" s="24"/>
      <c r="AL28" s="35">
        <f t="shared" si="17"/>
        <v>0.03815655017</v>
      </c>
      <c r="AM28" s="24"/>
      <c r="AN28" s="35">
        <f t="shared" si="18"/>
        <v>0.01281972888</v>
      </c>
      <c r="AO28" s="24"/>
      <c r="AQ28" s="36"/>
      <c r="AR28" s="35">
        <f t="shared" si="19"/>
        <v>0.03181213365</v>
      </c>
      <c r="AS28" s="24"/>
      <c r="AT28" s="35">
        <f t="shared" si="20"/>
        <v>0.01169747114</v>
      </c>
      <c r="AU28" s="24"/>
      <c r="AV28" s="35">
        <f t="shared" si="21"/>
        <v>0.02501893044</v>
      </c>
      <c r="AW28" s="24"/>
      <c r="AX28" s="35">
        <f t="shared" si="22"/>
        <v>0.01853609085</v>
      </c>
      <c r="AY28" s="24"/>
      <c r="AZ28" s="35">
        <f t="shared" si="23"/>
        <v>0.058627991</v>
      </c>
      <c r="BA28" s="24"/>
      <c r="BB28" s="35">
        <f t="shared" si="24"/>
        <v>0.006409042278</v>
      </c>
      <c r="BC28" s="24"/>
      <c r="BE28" s="36"/>
      <c r="BF28" s="35">
        <f t="shared" si="25"/>
        <v>0.03512620325</v>
      </c>
      <c r="BG28" s="24"/>
      <c r="BH28" s="35">
        <f t="shared" si="26"/>
        <v>0.002241492271</v>
      </c>
      <c r="BI28" s="24"/>
      <c r="BJ28" s="35">
        <f t="shared" si="27"/>
        <v>0.01407581568</v>
      </c>
      <c r="BK28" s="24"/>
      <c r="BL28" s="35">
        <f t="shared" si="28"/>
        <v>0.005984425545</v>
      </c>
      <c r="BM28" s="24"/>
      <c r="BN28" s="35">
        <f t="shared" si="29"/>
        <v>0.06063567975</v>
      </c>
      <c r="BO28" s="24"/>
      <c r="BP28" s="35">
        <f t="shared" si="30"/>
        <v>0.005294168267</v>
      </c>
      <c r="BQ28" s="24"/>
      <c r="BS28" s="36"/>
      <c r="BT28" s="35">
        <f t="shared" si="31"/>
        <v>0.03633749386</v>
      </c>
      <c r="BU28" s="24"/>
      <c r="BV28" s="35">
        <f t="shared" si="32"/>
        <v>0.004206955433</v>
      </c>
      <c r="BW28" s="24"/>
      <c r="BX28" s="35">
        <f t="shared" si="33"/>
        <v>0.008291602135</v>
      </c>
      <c r="BY28" s="24"/>
      <c r="BZ28" s="35">
        <f t="shared" si="34"/>
        <v>0.006292819977</v>
      </c>
      <c r="CA28" s="24"/>
      <c r="CB28" s="35">
        <f t="shared" si="35"/>
        <v>0.02290593175</v>
      </c>
      <c r="CC28" s="24"/>
      <c r="CD28" s="35">
        <f t="shared" si="36"/>
        <v>0.003529690699</v>
      </c>
      <c r="CE28" s="24"/>
      <c r="CG28" s="36"/>
      <c r="CH28" s="35">
        <f t="shared" si="37"/>
        <v>0.02353141991</v>
      </c>
      <c r="CI28" s="24"/>
      <c r="CJ28" s="35">
        <f t="shared" si="38"/>
        <v>-0.001149654388</v>
      </c>
      <c r="CK28" s="24"/>
      <c r="CL28" s="35">
        <f t="shared" si="39"/>
        <v>0.01802963018</v>
      </c>
      <c r="CM28" s="24"/>
      <c r="CN28" s="35">
        <f t="shared" si="40"/>
        <v>0.007947683334</v>
      </c>
      <c r="CO28" s="24"/>
      <c r="CP28" s="35">
        <f t="shared" si="41"/>
        <v>0.03248450896</v>
      </c>
      <c r="CQ28" s="24"/>
      <c r="CR28" s="35">
        <f t="shared" si="42"/>
        <v>-0.01628030125</v>
      </c>
      <c r="CS28" s="24"/>
    </row>
    <row r="29" ht="15.75" customHeight="1">
      <c r="A29" s="36"/>
      <c r="B29" s="33">
        <f t="shared" si="1"/>
        <v>0.01175531073</v>
      </c>
      <c r="C29" s="24"/>
      <c r="D29" s="33">
        <f t="shared" si="2"/>
        <v>0.02728414536</v>
      </c>
      <c r="E29" s="24"/>
      <c r="F29" s="33">
        <f t="shared" si="3"/>
        <v>0.007641136646</v>
      </c>
      <c r="G29" s="24"/>
      <c r="H29" s="33">
        <f t="shared" si="4"/>
        <v>0.01292765141</v>
      </c>
      <c r="I29" s="24"/>
      <c r="J29" s="33">
        <f t="shared" si="5"/>
        <v>-0.0125940758</v>
      </c>
      <c r="K29" s="24"/>
      <c r="L29" s="33">
        <f t="shared" si="6"/>
        <v>0.006924500176</v>
      </c>
      <c r="M29" s="24"/>
      <c r="O29" s="36"/>
      <c r="P29" s="35">
        <f t="shared" si="7"/>
        <v>0.004327944803</v>
      </c>
      <c r="Q29" s="24"/>
      <c r="R29" s="35">
        <f t="shared" si="8"/>
        <v>0.00532656908</v>
      </c>
      <c r="S29" s="24"/>
      <c r="T29" s="35">
        <f t="shared" si="9"/>
        <v>0.0006732940674</v>
      </c>
      <c r="U29" s="24"/>
      <c r="V29" s="35">
        <f t="shared" si="10"/>
        <v>0.001329421997</v>
      </c>
      <c r="W29" s="24"/>
      <c r="X29" s="35">
        <f t="shared" si="11"/>
        <v>-0.01027426858</v>
      </c>
      <c r="Y29" s="24"/>
      <c r="Z29" s="35">
        <f t="shared" si="12"/>
        <v>0.003668091976</v>
      </c>
      <c r="AA29" s="24"/>
      <c r="AC29" s="36"/>
      <c r="AD29" s="35">
        <f t="shared" si="13"/>
        <v>0.01677285632</v>
      </c>
      <c r="AE29" s="24"/>
      <c r="AF29" s="35">
        <f t="shared" si="14"/>
        <v>0.00480234623</v>
      </c>
      <c r="AG29" s="24"/>
      <c r="AH29" s="35">
        <f t="shared" si="15"/>
        <v>0.002119779587</v>
      </c>
      <c r="AI29" s="24"/>
      <c r="AJ29" s="35">
        <f t="shared" si="16"/>
        <v>0.001194059849</v>
      </c>
      <c r="AK29" s="24"/>
      <c r="AL29" s="35">
        <f t="shared" si="17"/>
        <v>-0.02994374168</v>
      </c>
      <c r="AM29" s="24"/>
      <c r="AN29" s="35">
        <f t="shared" si="18"/>
        <v>0.001689108231</v>
      </c>
      <c r="AO29" s="24"/>
      <c r="AQ29" s="36"/>
      <c r="AR29" s="35">
        <f t="shared" si="19"/>
        <v>0.0003254979231</v>
      </c>
      <c r="AS29" s="24"/>
      <c r="AT29" s="35">
        <f t="shared" si="20"/>
        <v>0.02728414536</v>
      </c>
      <c r="AU29" s="24"/>
      <c r="AV29" s="35">
        <f t="shared" si="21"/>
        <v>0.01190519333</v>
      </c>
      <c r="AW29" s="24"/>
      <c r="AX29" s="35">
        <f t="shared" si="22"/>
        <v>0.01413834095</v>
      </c>
      <c r="AY29" s="24"/>
      <c r="AZ29" s="35">
        <f t="shared" si="23"/>
        <v>0.00689472626</v>
      </c>
      <c r="BA29" s="24"/>
      <c r="BB29" s="35">
        <f t="shared" si="24"/>
        <v>0.005710121204</v>
      </c>
      <c r="BC29" s="24"/>
      <c r="BE29" s="36"/>
      <c r="BF29" s="35">
        <f t="shared" si="25"/>
        <v>0.02282460457</v>
      </c>
      <c r="BG29" s="24"/>
      <c r="BH29" s="35">
        <f t="shared" si="26"/>
        <v>0.01802384853</v>
      </c>
      <c r="BI29" s="24"/>
      <c r="BJ29" s="35">
        <f t="shared" si="27"/>
        <v>0.01232713461</v>
      </c>
      <c r="BK29" s="24"/>
      <c r="BL29" s="35">
        <f t="shared" si="28"/>
        <v>0.01088404655</v>
      </c>
      <c r="BM29" s="24"/>
      <c r="BN29" s="35">
        <f t="shared" si="29"/>
        <v>0.007087257013</v>
      </c>
      <c r="BO29" s="24"/>
      <c r="BP29" s="35">
        <f t="shared" si="30"/>
        <v>0.01866926755</v>
      </c>
      <c r="BQ29" s="24"/>
      <c r="BS29" s="36"/>
      <c r="BT29" s="35">
        <f t="shared" si="31"/>
        <v>0.02358883768</v>
      </c>
      <c r="BU29" s="24"/>
      <c r="BV29" s="35">
        <f t="shared" si="32"/>
        <v>0.01750659943</v>
      </c>
      <c r="BW29" s="24"/>
      <c r="BX29" s="35">
        <f t="shared" si="33"/>
        <v>0.01001447439</v>
      </c>
      <c r="BY29" s="24"/>
      <c r="BZ29" s="35">
        <f t="shared" si="34"/>
        <v>0.01344126463</v>
      </c>
      <c r="CA29" s="24"/>
      <c r="CB29" s="35">
        <f t="shared" si="35"/>
        <v>-0.005086071987</v>
      </c>
      <c r="CC29" s="24"/>
      <c r="CD29" s="35">
        <f t="shared" si="36"/>
        <v>0.01967040105</v>
      </c>
      <c r="CE29" s="24"/>
      <c r="CG29" s="36"/>
      <c r="CH29" s="35">
        <f t="shared" si="37"/>
        <v>0.002688894982</v>
      </c>
      <c r="CI29" s="24"/>
      <c r="CJ29" s="35">
        <f t="shared" si="38"/>
        <v>0.02274566889</v>
      </c>
      <c r="CK29" s="24"/>
      <c r="CL29" s="35">
        <f t="shared" si="39"/>
        <v>0.005569338799</v>
      </c>
      <c r="CM29" s="24"/>
      <c r="CN29" s="35">
        <f t="shared" si="40"/>
        <v>0.01034229994</v>
      </c>
      <c r="CO29" s="24"/>
      <c r="CP29" s="35">
        <f t="shared" si="41"/>
        <v>-0.0125940758</v>
      </c>
      <c r="CQ29" s="24"/>
      <c r="CR29" s="35">
        <f t="shared" si="42"/>
        <v>0.006924500176</v>
      </c>
      <c r="CS29" s="24"/>
    </row>
    <row r="30" ht="15.75" customHeight="1">
      <c r="A30" s="36"/>
      <c r="B30" s="33">
        <f t="shared" si="1"/>
        <v>-0.003213574652</v>
      </c>
      <c r="C30" s="24"/>
      <c r="D30" s="33">
        <f t="shared" si="2"/>
        <v>0.01134604216</v>
      </c>
      <c r="E30" s="24"/>
      <c r="F30" s="33">
        <f t="shared" si="3"/>
        <v>0.0008477568626</v>
      </c>
      <c r="G30" s="24"/>
      <c r="H30" s="33">
        <f t="shared" si="4"/>
        <v>0.01152020693</v>
      </c>
      <c r="I30" s="24"/>
      <c r="J30" s="33">
        <f t="shared" si="5"/>
        <v>-0.02545990682</v>
      </c>
      <c r="K30" s="24"/>
      <c r="L30" s="33">
        <f t="shared" si="6"/>
        <v>-0.01354869817</v>
      </c>
      <c r="M30" s="24"/>
      <c r="O30" s="36"/>
      <c r="P30" s="35">
        <f t="shared" si="7"/>
        <v>0.01635371375</v>
      </c>
      <c r="Q30" s="24"/>
      <c r="R30" s="35">
        <f t="shared" si="8"/>
        <v>0.0193157196</v>
      </c>
      <c r="S30" s="24"/>
      <c r="T30" s="35">
        <f t="shared" si="9"/>
        <v>0.00168710947</v>
      </c>
      <c r="U30" s="24"/>
      <c r="V30" s="35">
        <f t="shared" si="10"/>
        <v>0.01556330919</v>
      </c>
      <c r="W30" s="24"/>
      <c r="X30" s="35">
        <f t="shared" si="11"/>
        <v>-0.01934232602</v>
      </c>
      <c r="Y30" s="24"/>
      <c r="Z30" s="35">
        <f t="shared" si="12"/>
        <v>0.009589093593</v>
      </c>
      <c r="AA30" s="24"/>
      <c r="AC30" s="36"/>
      <c r="AD30" s="35">
        <f t="shared" si="13"/>
        <v>0.007816920642</v>
      </c>
      <c r="AE30" s="24"/>
      <c r="AF30" s="35">
        <f t="shared" si="14"/>
        <v>0.01278966665</v>
      </c>
      <c r="AG30" s="24"/>
      <c r="AH30" s="35">
        <f t="shared" si="15"/>
        <v>0.001326501369</v>
      </c>
      <c r="AI30" s="24"/>
      <c r="AJ30" s="35">
        <f t="shared" si="16"/>
        <v>0.006989121437</v>
      </c>
      <c r="AK30" s="24"/>
      <c r="AL30" s="35">
        <f t="shared" si="17"/>
        <v>-0.03800283537</v>
      </c>
      <c r="AM30" s="24"/>
      <c r="AN30" s="35">
        <f t="shared" si="18"/>
        <v>0.001440603767</v>
      </c>
      <c r="AO30" s="24"/>
      <c r="AQ30" s="36"/>
      <c r="AR30" s="35">
        <f t="shared" si="19"/>
        <v>-0.003213574652</v>
      </c>
      <c r="AS30" s="24"/>
      <c r="AT30" s="35">
        <f t="shared" si="20"/>
        <v>0.0007330775261</v>
      </c>
      <c r="AU30" s="24"/>
      <c r="AV30" s="35">
        <f t="shared" si="21"/>
        <v>-0.006037592888</v>
      </c>
      <c r="AW30" s="24"/>
      <c r="AX30" s="35">
        <f t="shared" si="22"/>
        <v>0.002815186977</v>
      </c>
      <c r="AY30" s="24"/>
      <c r="AZ30" s="35">
        <f t="shared" si="23"/>
        <v>-0.05625929093</v>
      </c>
      <c r="BA30" s="24"/>
      <c r="BB30" s="35">
        <f t="shared" si="24"/>
        <v>-0.01834461212</v>
      </c>
      <c r="BC30" s="24"/>
      <c r="BE30" s="36"/>
      <c r="BF30" s="35">
        <f t="shared" si="25"/>
        <v>0.0078839588</v>
      </c>
      <c r="BG30" s="24"/>
      <c r="BH30" s="35">
        <f t="shared" si="26"/>
        <v>0.01390385628</v>
      </c>
      <c r="BI30" s="24"/>
      <c r="BJ30" s="35">
        <f t="shared" si="27"/>
        <v>0.003683269024</v>
      </c>
      <c r="BK30" s="24"/>
      <c r="BL30" s="35">
        <f t="shared" si="28"/>
        <v>0.00853073597</v>
      </c>
      <c r="BM30" s="24"/>
      <c r="BN30" s="35">
        <f t="shared" si="29"/>
        <v>-0.01388303625</v>
      </c>
      <c r="BO30" s="24"/>
      <c r="BP30" s="35">
        <f t="shared" si="30"/>
        <v>0.006054303633</v>
      </c>
      <c r="BQ30" s="24"/>
      <c r="BS30" s="36"/>
      <c r="BT30" s="35">
        <f t="shared" si="31"/>
        <v>0.00566978391</v>
      </c>
      <c r="BU30" s="24"/>
      <c r="BV30" s="35">
        <f t="shared" si="32"/>
        <v>0.02092736959</v>
      </c>
      <c r="BW30" s="24"/>
      <c r="BX30" s="35">
        <f t="shared" si="33"/>
        <v>0.009358346462</v>
      </c>
      <c r="BY30" s="24"/>
      <c r="BZ30" s="35">
        <f t="shared" si="34"/>
        <v>0.01958966255</v>
      </c>
      <c r="CA30" s="24"/>
      <c r="CB30" s="35">
        <f t="shared" si="35"/>
        <v>0.007779690476</v>
      </c>
      <c r="CC30" s="24"/>
      <c r="CD30" s="35">
        <f t="shared" si="36"/>
        <v>0.01715786824</v>
      </c>
      <c r="CE30" s="24"/>
      <c r="CG30" s="36"/>
      <c r="CH30" s="35">
        <f t="shared" si="37"/>
        <v>-0.00166401768</v>
      </c>
      <c r="CI30" s="24"/>
      <c r="CJ30" s="35">
        <f t="shared" si="38"/>
        <v>0.01941382885</v>
      </c>
      <c r="CK30" s="24"/>
      <c r="CL30" s="35">
        <f t="shared" si="39"/>
        <v>0.008076608181</v>
      </c>
      <c r="CM30" s="24"/>
      <c r="CN30" s="35">
        <f t="shared" si="40"/>
        <v>0.01472580433</v>
      </c>
      <c r="CO30" s="24"/>
      <c r="CP30" s="35">
        <f t="shared" si="41"/>
        <v>-0.02545990682</v>
      </c>
      <c r="CQ30" s="24"/>
      <c r="CR30" s="35">
        <f t="shared" si="42"/>
        <v>-0.004603580563</v>
      </c>
      <c r="CS30" s="24"/>
    </row>
    <row r="31" ht="15.75" customHeight="1">
      <c r="A31" s="37"/>
      <c r="B31" s="33">
        <f t="shared" si="1"/>
        <v>-0.005314828451</v>
      </c>
      <c r="C31" s="24"/>
      <c r="D31" s="33">
        <f t="shared" si="2"/>
        <v>0.01273882389</v>
      </c>
      <c r="E31" s="24"/>
      <c r="F31" s="33">
        <f t="shared" si="3"/>
        <v>-0.003648936749</v>
      </c>
      <c r="G31" s="24"/>
      <c r="H31" s="33">
        <f t="shared" si="4"/>
        <v>0.005463480949</v>
      </c>
      <c r="I31" s="24"/>
      <c r="J31" s="33">
        <f t="shared" si="5"/>
        <v>-0.02159492709</v>
      </c>
      <c r="K31" s="24"/>
      <c r="L31" s="33">
        <f t="shared" si="6"/>
        <v>0.002904600837</v>
      </c>
      <c r="M31" s="24"/>
      <c r="O31" s="37"/>
      <c r="P31" s="35">
        <f t="shared" si="7"/>
        <v>-0.01065018626</v>
      </c>
      <c r="Q31" s="24"/>
      <c r="R31" s="35">
        <f t="shared" si="8"/>
        <v>0.006580770016</v>
      </c>
      <c r="S31" s="24"/>
      <c r="T31" s="35">
        <f t="shared" si="9"/>
        <v>-0.003648936749</v>
      </c>
      <c r="U31" s="24"/>
      <c r="V31" s="35">
        <f t="shared" si="10"/>
        <v>0.001652002335</v>
      </c>
      <c r="W31" s="24"/>
      <c r="X31" s="35">
        <f t="shared" si="11"/>
        <v>-0.038810531</v>
      </c>
      <c r="Y31" s="24"/>
      <c r="Z31" s="35">
        <f t="shared" si="12"/>
        <v>0.00478943238</v>
      </c>
      <c r="AA31" s="24"/>
      <c r="AC31" s="37"/>
      <c r="AD31" s="35">
        <f t="shared" si="13"/>
        <v>-0.01178040842</v>
      </c>
      <c r="AE31" s="24"/>
      <c r="AF31" s="35">
        <f t="shared" si="14"/>
        <v>0.002539992332</v>
      </c>
      <c r="AG31" s="24"/>
      <c r="AH31" s="35">
        <f t="shared" si="15"/>
        <v>-0.004086494446</v>
      </c>
      <c r="AI31" s="24"/>
      <c r="AJ31" s="35">
        <f t="shared" si="16"/>
        <v>0.002597868443</v>
      </c>
      <c r="AK31" s="24"/>
      <c r="AL31" s="35">
        <f t="shared" si="17"/>
        <v>-0.02387497955</v>
      </c>
      <c r="AM31" s="24"/>
      <c r="AN31" s="35">
        <f t="shared" si="18"/>
        <v>0.00482946927</v>
      </c>
      <c r="AO31" s="24"/>
      <c r="AQ31" s="37"/>
      <c r="AR31" s="35">
        <f t="shared" si="19"/>
        <v>-0.01403033332</v>
      </c>
      <c r="AS31" s="24"/>
      <c r="AT31" s="35">
        <f t="shared" si="20"/>
        <v>0.01273882389</v>
      </c>
      <c r="AU31" s="24"/>
      <c r="AV31" s="35">
        <f t="shared" si="21"/>
        <v>-0.001100838184</v>
      </c>
      <c r="AW31" s="24"/>
      <c r="AX31" s="35">
        <f t="shared" si="22"/>
        <v>0.00896525383</v>
      </c>
      <c r="AY31" s="24"/>
      <c r="AZ31" s="35">
        <f t="shared" si="23"/>
        <v>-0.04076110675</v>
      </c>
      <c r="BA31" s="24"/>
      <c r="BB31" s="35">
        <f t="shared" si="24"/>
        <v>-0.01389800146</v>
      </c>
      <c r="BC31" s="24"/>
      <c r="BE31" s="37"/>
      <c r="BF31" s="35">
        <f t="shared" si="25"/>
        <v>-0.008348668244</v>
      </c>
      <c r="BG31" s="24"/>
      <c r="BH31" s="35">
        <f t="shared" si="26"/>
        <v>0.002477049828</v>
      </c>
      <c r="BI31" s="24"/>
      <c r="BJ31" s="35">
        <f t="shared" si="27"/>
        <v>-0.008588850498</v>
      </c>
      <c r="BK31" s="24"/>
      <c r="BL31" s="35">
        <f t="shared" si="28"/>
        <v>-0.00210249424</v>
      </c>
      <c r="BM31" s="24"/>
      <c r="BN31" s="35">
        <f t="shared" si="29"/>
        <v>-0.02935531637</v>
      </c>
      <c r="BO31" s="24"/>
      <c r="BP31" s="35">
        <f t="shared" si="30"/>
        <v>0.004009502489</v>
      </c>
      <c r="BQ31" s="24"/>
      <c r="BS31" s="37"/>
      <c r="BT31" s="35">
        <f t="shared" si="31"/>
        <v>-0.005314828451</v>
      </c>
      <c r="BU31" s="24"/>
      <c r="BV31" s="35">
        <f t="shared" si="32"/>
        <v>-0.0006664991379</v>
      </c>
      <c r="BW31" s="24"/>
      <c r="BX31" s="35">
        <f t="shared" si="33"/>
        <v>-0.01238143444</v>
      </c>
      <c r="BY31" s="24"/>
      <c r="BZ31" s="35">
        <f t="shared" si="34"/>
        <v>-0.004873335361</v>
      </c>
      <c r="CA31" s="24"/>
      <c r="CB31" s="35">
        <f t="shared" si="35"/>
        <v>-0.02089868912</v>
      </c>
      <c r="CC31" s="24"/>
      <c r="CD31" s="35">
        <f t="shared" si="36"/>
        <v>0.001992865964</v>
      </c>
      <c r="CE31" s="24"/>
      <c r="CG31" s="37"/>
      <c r="CH31" s="35">
        <f t="shared" si="37"/>
        <v>-0.006815245963</v>
      </c>
      <c r="CI31" s="24"/>
      <c r="CJ31" s="35">
        <f t="shared" si="38"/>
        <v>0.01515924931</v>
      </c>
      <c r="CK31" s="24"/>
      <c r="CL31" s="35">
        <f t="shared" si="39"/>
        <v>-0.004564285278</v>
      </c>
      <c r="CM31" s="24"/>
      <c r="CN31" s="35">
        <f t="shared" si="40"/>
        <v>0.005919873714</v>
      </c>
      <c r="CO31" s="24"/>
      <c r="CP31" s="35">
        <f t="shared" si="41"/>
        <v>-0.02159492709</v>
      </c>
      <c r="CQ31" s="24"/>
      <c r="CR31" s="35">
        <f t="shared" si="42"/>
        <v>0.002904600837</v>
      </c>
      <c r="CS31" s="24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ht="15.75" customHeight="1">
      <c r="A33" s="22"/>
      <c r="B33" s="23" t="s">
        <v>9</v>
      </c>
      <c r="C33" s="24"/>
      <c r="D33" s="23" t="s">
        <v>10</v>
      </c>
      <c r="E33" s="24"/>
      <c r="F33" s="23" t="s">
        <v>11</v>
      </c>
      <c r="G33" s="24"/>
      <c r="H33" s="23" t="s">
        <v>12</v>
      </c>
      <c r="I33" s="24"/>
      <c r="J33" s="23" t="s">
        <v>13</v>
      </c>
      <c r="K33" s="24"/>
      <c r="L33" s="23" t="s">
        <v>14</v>
      </c>
      <c r="M33" s="24"/>
      <c r="P33" s="25" t="s">
        <v>9</v>
      </c>
      <c r="Q33" s="24"/>
      <c r="R33" s="25" t="s">
        <v>10</v>
      </c>
      <c r="S33" s="24"/>
      <c r="T33" s="25" t="s">
        <v>11</v>
      </c>
      <c r="U33" s="24"/>
      <c r="V33" s="25" t="s">
        <v>12</v>
      </c>
      <c r="W33" s="24"/>
      <c r="X33" s="25" t="s">
        <v>13</v>
      </c>
      <c r="Y33" s="24"/>
      <c r="Z33" s="25" t="s">
        <v>14</v>
      </c>
      <c r="AA33" s="24"/>
      <c r="AD33" s="25" t="s">
        <v>9</v>
      </c>
      <c r="AE33" s="24"/>
      <c r="AF33" s="25" t="s">
        <v>10</v>
      </c>
      <c r="AG33" s="24"/>
      <c r="AH33" s="25" t="s">
        <v>11</v>
      </c>
      <c r="AI33" s="24"/>
      <c r="AJ33" s="25" t="s">
        <v>12</v>
      </c>
      <c r="AK33" s="24"/>
      <c r="AL33" s="25" t="s">
        <v>13</v>
      </c>
      <c r="AM33" s="24"/>
      <c r="AN33" s="25" t="s">
        <v>14</v>
      </c>
      <c r="AO33" s="24"/>
      <c r="AR33" s="25" t="s">
        <v>9</v>
      </c>
      <c r="AS33" s="24"/>
      <c r="AT33" s="25" t="s">
        <v>10</v>
      </c>
      <c r="AU33" s="24"/>
      <c r="AV33" s="25" t="s">
        <v>11</v>
      </c>
      <c r="AW33" s="24"/>
      <c r="AX33" s="25" t="s">
        <v>12</v>
      </c>
      <c r="AY33" s="24"/>
      <c r="AZ33" s="25" t="s">
        <v>13</v>
      </c>
      <c r="BA33" s="24"/>
      <c r="BB33" s="25" t="s">
        <v>14</v>
      </c>
      <c r="BC33" s="24"/>
      <c r="BF33" s="25" t="s">
        <v>9</v>
      </c>
      <c r="BG33" s="24"/>
      <c r="BH33" s="25" t="s">
        <v>10</v>
      </c>
      <c r="BI33" s="24"/>
      <c r="BJ33" s="25" t="s">
        <v>11</v>
      </c>
      <c r="BK33" s="24"/>
      <c r="BL33" s="25" t="s">
        <v>12</v>
      </c>
      <c r="BM33" s="24"/>
      <c r="BN33" s="25" t="s">
        <v>13</v>
      </c>
      <c r="BO33" s="24"/>
      <c r="BP33" s="25" t="s">
        <v>14</v>
      </c>
      <c r="BQ33" s="24"/>
      <c r="BT33" s="25" t="s">
        <v>9</v>
      </c>
      <c r="BU33" s="24"/>
      <c r="BV33" s="25" t="s">
        <v>10</v>
      </c>
      <c r="BW33" s="24"/>
      <c r="BX33" s="25" t="s">
        <v>11</v>
      </c>
      <c r="BY33" s="24"/>
      <c r="BZ33" s="25" t="s">
        <v>12</v>
      </c>
      <c r="CA33" s="24"/>
      <c r="CB33" s="25" t="s">
        <v>13</v>
      </c>
      <c r="CC33" s="24"/>
      <c r="CD33" s="25" t="s">
        <v>14</v>
      </c>
      <c r="CE33" s="24"/>
      <c r="CH33" s="25" t="s">
        <v>9</v>
      </c>
      <c r="CI33" s="24"/>
      <c r="CJ33" s="25" t="s">
        <v>10</v>
      </c>
      <c r="CK33" s="24"/>
      <c r="CL33" s="25" t="s">
        <v>11</v>
      </c>
      <c r="CM33" s="24"/>
      <c r="CN33" s="25" t="s">
        <v>12</v>
      </c>
      <c r="CO33" s="24"/>
      <c r="CP33" s="25" t="s">
        <v>13</v>
      </c>
      <c r="CQ33" s="24"/>
      <c r="CR33" s="25" t="s">
        <v>14</v>
      </c>
      <c r="CS33" s="24"/>
    </row>
    <row r="34" ht="15.75" customHeight="1">
      <c r="A34" s="22"/>
      <c r="B34" s="26" t="s">
        <v>99</v>
      </c>
      <c r="C34" s="26" t="s">
        <v>100</v>
      </c>
      <c r="D34" s="26" t="s">
        <v>99</v>
      </c>
      <c r="E34" s="26" t="s">
        <v>100</v>
      </c>
      <c r="F34" s="26" t="s">
        <v>99</v>
      </c>
      <c r="G34" s="26" t="s">
        <v>100</v>
      </c>
      <c r="H34" s="26" t="s">
        <v>99</v>
      </c>
      <c r="I34" s="26" t="s">
        <v>100</v>
      </c>
      <c r="J34" s="26" t="s">
        <v>99</v>
      </c>
      <c r="K34" s="26" t="s">
        <v>100</v>
      </c>
      <c r="L34" s="26" t="s">
        <v>99</v>
      </c>
      <c r="M34" s="26" t="s">
        <v>100</v>
      </c>
      <c r="P34" s="27" t="s">
        <v>99</v>
      </c>
      <c r="Q34" s="27" t="s">
        <v>100</v>
      </c>
      <c r="R34" s="27" t="s">
        <v>99</v>
      </c>
      <c r="S34" s="27" t="s">
        <v>100</v>
      </c>
      <c r="T34" s="27" t="s">
        <v>99</v>
      </c>
      <c r="U34" s="27" t="s">
        <v>100</v>
      </c>
      <c r="V34" s="27" t="s">
        <v>99</v>
      </c>
      <c r="W34" s="27" t="s">
        <v>100</v>
      </c>
      <c r="X34" s="27" t="s">
        <v>99</v>
      </c>
      <c r="Y34" s="27" t="s">
        <v>100</v>
      </c>
      <c r="Z34" s="27" t="s">
        <v>99</v>
      </c>
      <c r="AA34" s="27" t="s">
        <v>100</v>
      </c>
      <c r="AD34" s="27" t="s">
        <v>99</v>
      </c>
      <c r="AE34" s="27" t="s">
        <v>100</v>
      </c>
      <c r="AF34" s="27" t="s">
        <v>99</v>
      </c>
      <c r="AG34" s="27" t="s">
        <v>100</v>
      </c>
      <c r="AH34" s="27" t="s">
        <v>99</v>
      </c>
      <c r="AI34" s="27" t="s">
        <v>100</v>
      </c>
      <c r="AJ34" s="27" t="s">
        <v>99</v>
      </c>
      <c r="AK34" s="27" t="s">
        <v>100</v>
      </c>
      <c r="AL34" s="27" t="s">
        <v>99</v>
      </c>
      <c r="AM34" s="27" t="s">
        <v>100</v>
      </c>
      <c r="AN34" s="27" t="s">
        <v>99</v>
      </c>
      <c r="AO34" s="27" t="s">
        <v>100</v>
      </c>
      <c r="AR34" s="27" t="s">
        <v>99</v>
      </c>
      <c r="AS34" s="27" t="s">
        <v>100</v>
      </c>
      <c r="AT34" s="27" t="s">
        <v>99</v>
      </c>
      <c r="AU34" s="27" t="s">
        <v>100</v>
      </c>
      <c r="AV34" s="27" t="s">
        <v>99</v>
      </c>
      <c r="AW34" s="27" t="s">
        <v>100</v>
      </c>
      <c r="AX34" s="27" t="s">
        <v>99</v>
      </c>
      <c r="AY34" s="27" t="s">
        <v>100</v>
      </c>
      <c r="AZ34" s="27" t="s">
        <v>99</v>
      </c>
      <c r="BA34" s="27" t="s">
        <v>100</v>
      </c>
      <c r="BB34" s="27" t="s">
        <v>99</v>
      </c>
      <c r="BC34" s="27" t="s">
        <v>100</v>
      </c>
      <c r="BF34" s="27" t="s">
        <v>99</v>
      </c>
      <c r="BG34" s="27" t="s">
        <v>100</v>
      </c>
      <c r="BH34" s="27" t="s">
        <v>99</v>
      </c>
      <c r="BI34" s="27" t="s">
        <v>100</v>
      </c>
      <c r="BJ34" s="27" t="s">
        <v>99</v>
      </c>
      <c r="BK34" s="27" t="s">
        <v>100</v>
      </c>
      <c r="BL34" s="27" t="s">
        <v>99</v>
      </c>
      <c r="BM34" s="27" t="s">
        <v>100</v>
      </c>
      <c r="BN34" s="27" t="s">
        <v>99</v>
      </c>
      <c r="BO34" s="27" t="s">
        <v>100</v>
      </c>
      <c r="BP34" s="27" t="s">
        <v>99</v>
      </c>
      <c r="BQ34" s="27" t="s">
        <v>100</v>
      </c>
      <c r="BT34" s="27" t="s">
        <v>99</v>
      </c>
      <c r="BU34" s="27" t="s">
        <v>100</v>
      </c>
      <c r="BV34" s="27" t="s">
        <v>99</v>
      </c>
      <c r="BW34" s="27" t="s">
        <v>100</v>
      </c>
      <c r="BX34" s="27" t="s">
        <v>99</v>
      </c>
      <c r="BY34" s="27" t="s">
        <v>100</v>
      </c>
      <c r="BZ34" s="27" t="s">
        <v>99</v>
      </c>
      <c r="CA34" s="27" t="s">
        <v>100</v>
      </c>
      <c r="CB34" s="27" t="s">
        <v>99</v>
      </c>
      <c r="CC34" s="27" t="s">
        <v>100</v>
      </c>
      <c r="CD34" s="27" t="s">
        <v>99</v>
      </c>
      <c r="CE34" s="27" t="s">
        <v>100</v>
      </c>
      <c r="CH34" s="27" t="s">
        <v>99</v>
      </c>
      <c r="CI34" s="27" t="s">
        <v>100</v>
      </c>
      <c r="CJ34" s="27" t="s">
        <v>99</v>
      </c>
      <c r="CK34" s="27" t="s">
        <v>100</v>
      </c>
      <c r="CL34" s="27" t="s">
        <v>99</v>
      </c>
      <c r="CM34" s="27" t="s">
        <v>100</v>
      </c>
      <c r="CN34" s="27" t="s">
        <v>99</v>
      </c>
      <c r="CO34" s="27" t="s">
        <v>100</v>
      </c>
      <c r="CP34" s="27" t="s">
        <v>99</v>
      </c>
      <c r="CQ34" s="27" t="s">
        <v>100</v>
      </c>
      <c r="CR34" s="27" t="s">
        <v>99</v>
      </c>
      <c r="CS34" s="27" t="s">
        <v>100</v>
      </c>
    </row>
    <row r="35" ht="15.75" customHeight="1">
      <c r="A35" s="28" t="s">
        <v>101</v>
      </c>
      <c r="B35" s="29">
        <f>MAX(metricas_media!J20:J37)</f>
        <v>0.1998572448</v>
      </c>
      <c r="C35" s="29">
        <f>MAX(metricas_media!J38:J55)</f>
        <v>0.2181322427</v>
      </c>
      <c r="D35" s="29">
        <f>MAX(metricas_media!K20:K37)</f>
        <v>0.295389049</v>
      </c>
      <c r="E35" s="29">
        <f>MAX(metricas_media!K38:K55)</f>
        <v>0.275862069</v>
      </c>
      <c r="F35" s="29">
        <f>MAX(metricas_media!L20:L37)</f>
        <v>0</v>
      </c>
      <c r="G35" s="29">
        <f>MAX(metricas_media!L38:L55)</f>
        <v>0</v>
      </c>
      <c r="H35" s="29">
        <f>MAX(metricas_media!M20:M37)</f>
        <v>0</v>
      </c>
      <c r="I35" s="29">
        <f>MAX(metricas_media!M38:M55)</f>
        <v>0</v>
      </c>
      <c r="J35" s="29">
        <f>MAX(metricas_media!N20:N37)</f>
        <v>0.9999999404</v>
      </c>
      <c r="K35" s="29">
        <f>MAX(metricas_media!N38:N55)</f>
        <v>0.9999999404</v>
      </c>
      <c r="L35" s="29">
        <f>MAX(metricas_media!O20:O37)</f>
        <v>0.9999999404</v>
      </c>
      <c r="M35" s="29">
        <f>MAX(metricas_media!O38:O55)</f>
        <v>0.9999999404</v>
      </c>
      <c r="O35" s="30" t="s">
        <v>101</v>
      </c>
      <c r="P35" s="31">
        <f>MAX(Gemma!J2:J4)</f>
        <v>0.1788413098</v>
      </c>
      <c r="Q35" s="31">
        <f>MAX(Gemma!J5:J7)</f>
        <v>0.2047043865</v>
      </c>
      <c r="R35" s="31">
        <f>MAX(Gemma!K2:K4)</f>
        <v>0.2695214106</v>
      </c>
      <c r="S35" s="31">
        <f>MAX(Gemma!K5:K7)</f>
        <v>0.2652659225</v>
      </c>
      <c r="T35" s="31">
        <f>MAX(Gemma!L2:L4)</f>
        <v>0</v>
      </c>
      <c r="U35" s="31">
        <f>MAX(Gemma!L5:L7)</f>
        <v>0</v>
      </c>
      <c r="V35" s="31">
        <f>MAX(Gemma!M2:M4)</f>
        <v>0</v>
      </c>
      <c r="W35" s="31">
        <f>MAX(Gemma!M5:M7)</f>
        <v>0</v>
      </c>
      <c r="X35" s="31">
        <f>MAX(Gemma!N2:N4)</f>
        <v>0.9999999404</v>
      </c>
      <c r="Y35" s="31">
        <f>MAX(Gemma!N5:N7)</f>
        <v>0.9999999404</v>
      </c>
      <c r="Z35" s="31">
        <f>MAX(Gemma!O2:O4)</f>
        <v>0.8271334767</v>
      </c>
      <c r="AA35" s="31">
        <f>MAX(Gemma!O5:O7)</f>
        <v>0.8271334767</v>
      </c>
      <c r="AC35" s="30" t="s">
        <v>101</v>
      </c>
      <c r="AD35" s="31">
        <f>MAX(Gemma!$J8:$J10)</f>
        <v>0.1730013106</v>
      </c>
      <c r="AE35" s="31">
        <f>MAX(Gemma!$J11:$J13)</f>
        <v>0.1972386588</v>
      </c>
      <c r="AF35" s="31">
        <f>MAX(Gemma!$K8:$K10)</f>
        <v>0.261208577</v>
      </c>
      <c r="AG35" s="31">
        <f>MAX(Gemma!$K11:$K13)</f>
        <v>0.2598425197</v>
      </c>
      <c r="AH35" s="31">
        <f>MAX(Gemma!$L8:$L10)</f>
        <v>0</v>
      </c>
      <c r="AI35" s="31">
        <f>MAX(Gemma!$L11:$L13)</f>
        <v>0</v>
      </c>
      <c r="AJ35" s="31">
        <f>MAX(Gemma!$M8:$M10)</f>
        <v>0</v>
      </c>
      <c r="AK35" s="31">
        <f>MAX(Gemma!$M11:$M13)</f>
        <v>0</v>
      </c>
      <c r="AL35" s="31">
        <f>MAX(Gemma!$N8:$N10)</f>
        <v>0.9999999404</v>
      </c>
      <c r="AM35" s="31">
        <f>MAX(Gemma!$N11:$N13)</f>
        <v>0.9999999404</v>
      </c>
      <c r="AN35" s="31">
        <f>MAX(Gemma!$O8:$O10)</f>
        <v>0.5545380712</v>
      </c>
      <c r="AO35" s="31">
        <f>MAX(Gemma!$O11:$O13)</f>
        <v>0.5545380712</v>
      </c>
      <c r="AQ35" s="30" t="s">
        <v>101</v>
      </c>
      <c r="AR35" s="31">
        <f>MAX(Gemma!$J14:$J16)</f>
        <v>0.191576087</v>
      </c>
      <c r="AS35" s="31">
        <f>MAX(Gemma!$J17:$J19)</f>
        <v>0.2181322427</v>
      </c>
      <c r="AT35" s="31">
        <f>MAX(Gemma!$K14:$K16)</f>
        <v>0.2649456522</v>
      </c>
      <c r="AU35" s="31">
        <f>MAX(Gemma!$K17:$K19)</f>
        <v>0.262585034</v>
      </c>
      <c r="AV35" s="31">
        <f>MAX(Gemma!$L14:$L16)</f>
        <v>0</v>
      </c>
      <c r="AW35" s="31">
        <f>MAX(Gemma!$L17:$L19)</f>
        <v>0</v>
      </c>
      <c r="AX35" s="31">
        <f>MAX(Gemma!$M14:$M16)</f>
        <v>0</v>
      </c>
      <c r="AY35" s="31">
        <f>MAX(Gemma!$M17:$M19)</f>
        <v>0</v>
      </c>
      <c r="AZ35" s="31">
        <f>MAX(Gemma!$N14:$N16)</f>
        <v>0.9999999404</v>
      </c>
      <c r="BA35" s="31">
        <f>MAX(Gemma!$N17:$N19)</f>
        <v>0.9999999404</v>
      </c>
      <c r="BB35" s="31">
        <f>MAX(Gemma!$O14:$O16)</f>
        <v>0.9999999404</v>
      </c>
      <c r="BC35" s="31">
        <f>MAX(Gemma!$O17:$O19)</f>
        <v>0.9999999404</v>
      </c>
      <c r="BE35" s="30" t="s">
        <v>101</v>
      </c>
      <c r="BF35" s="31">
        <f>MAX(Gemma!$J20:$J22)</f>
        <v>0.1911764706</v>
      </c>
      <c r="BG35" s="31">
        <f>MAX(Gemma!$J23:$J25)</f>
        <v>0.2115830116</v>
      </c>
      <c r="BH35" s="31">
        <f>MAX(Gemma!$K20:$K22)</f>
        <v>0.2691176471</v>
      </c>
      <c r="BI35" s="31">
        <f>MAX(Gemma!$K23:$K25)</f>
        <v>0.2733590734</v>
      </c>
      <c r="BJ35" s="31">
        <f>MAX(Gemma!$L20:$L22)</f>
        <v>0</v>
      </c>
      <c r="BK35" s="31">
        <f>MAX(Gemma!$L23:$L25)</f>
        <v>0</v>
      </c>
      <c r="BL35" s="31">
        <f>MAX(Gemma!$M20:$M22)</f>
        <v>0</v>
      </c>
      <c r="BM35" s="31">
        <f>MAX(Gemma!$M23:$M25)</f>
        <v>0</v>
      </c>
      <c r="BN35" s="31">
        <f>MAX(Gemma!$N20:$N22)</f>
        <v>0.9999999404</v>
      </c>
      <c r="BO35" s="31">
        <f>MAX(Gemma!$N23:$N25)</f>
        <v>0.9999999404</v>
      </c>
      <c r="BP35" s="31">
        <f>MAX(Gemma!$O20:$O22)</f>
        <v>0.9999999404</v>
      </c>
      <c r="BQ35" s="31">
        <f>MAX(Gemma!$O23:$O25)</f>
        <v>0.9999999404</v>
      </c>
      <c r="BS35" s="30" t="s">
        <v>101</v>
      </c>
      <c r="BT35" s="31">
        <f>MAX(Gemma!$J26:$J28)</f>
        <v>0.1785989222</v>
      </c>
      <c r="BU35" s="31">
        <f>MAX(Gemma!$J29:$J31)</f>
        <v>0.2040185471</v>
      </c>
      <c r="BV35" s="31">
        <f>MAX(Gemma!$K26:$K28)</f>
        <v>0.2802155504</v>
      </c>
      <c r="BW35" s="31">
        <f>MAX(Gemma!$K29:$K31)</f>
        <v>0.275862069</v>
      </c>
      <c r="BX35" s="31">
        <f>MAX(Gemma!$L26:$L28)</f>
        <v>0</v>
      </c>
      <c r="BY35" s="31">
        <f>MAX(Gemma!$L29:$L31)</f>
        <v>0</v>
      </c>
      <c r="BZ35" s="31">
        <f>MAX(Gemma!$M26:$M28)</f>
        <v>0</v>
      </c>
      <c r="CA35" s="31">
        <f>MAX(Gemma!$M29:$M31)</f>
        <v>0</v>
      </c>
      <c r="CB35" s="31">
        <f>MAX(Gemma!$N26:$N28)</f>
        <v>0.9999999404</v>
      </c>
      <c r="CC35" s="31">
        <f>MAX(Gemma!$N29:$N31)</f>
        <v>0.9999999404</v>
      </c>
      <c r="CD35" s="31">
        <f>MAX(Gemma!$O26:$O28)</f>
        <v>0.9999999404</v>
      </c>
      <c r="CE35" s="31">
        <f>MAX(Gemma!$O29:$O31)</f>
        <v>0.9999999404</v>
      </c>
      <c r="CG35" s="30" t="s">
        <v>101</v>
      </c>
      <c r="CH35" s="31">
        <f>MAX(Gemma!$J32:$J34)</f>
        <v>0.1998572448</v>
      </c>
      <c r="CI35" s="31">
        <f>MAX(Gemma!$J35:$J37)</f>
        <v>0.2135642136</v>
      </c>
      <c r="CJ35" s="31">
        <f>MAX(Gemma!$K32:$K34)</f>
        <v>0.295389049</v>
      </c>
      <c r="CK35" s="31">
        <f>MAX(Gemma!$K35:$K37)</f>
        <v>0.2724550898</v>
      </c>
      <c r="CL35" s="31">
        <f>MAX(Gemma!$L32:$L34)</f>
        <v>0</v>
      </c>
      <c r="CM35" s="31">
        <f>MAX(Gemma!$L35:$L37)</f>
        <v>0</v>
      </c>
      <c r="CN35" s="31">
        <f>MAX(Gemma!$M32:$M34)</f>
        <v>0</v>
      </c>
      <c r="CO35" s="31">
        <f>MAX(Gemma!$M35:$M37)</f>
        <v>0</v>
      </c>
      <c r="CP35" s="31">
        <f>MAX(Gemma!$N32:$N34)</f>
        <v>0.9999999404</v>
      </c>
      <c r="CQ35" s="31">
        <f>MAX(Gemma!$N35:$N37)</f>
        <v>0.9999999404</v>
      </c>
      <c r="CR35" s="31">
        <f>MAX(Gemma!$O32:$O34)</f>
        <v>0.9999999404</v>
      </c>
      <c r="CS35" s="31">
        <f>MAX(Gemma!$O35:$O37)</f>
        <v>0.9999999404</v>
      </c>
    </row>
    <row r="36" ht="15.75" customHeight="1">
      <c r="A36" s="28" t="s">
        <v>102</v>
      </c>
      <c r="B36" s="29">
        <f>MAX(metricas_media!J182:J199)</f>
        <v>0.1919642857</v>
      </c>
      <c r="C36" s="29">
        <f>MAX(metricas_media!J37:J200)</f>
        <v>0.2181322427</v>
      </c>
      <c r="D36" s="29">
        <f>MAX(metricas_media!K182:K199)</f>
        <v>0.2682539683</v>
      </c>
      <c r="E36" s="29">
        <f>MAX(metricas_media!K37:K200)</f>
        <v>0.295389049</v>
      </c>
      <c r="F36" s="29">
        <f>MAX(metricas_media!L182:L199)</f>
        <v>0.7023139</v>
      </c>
      <c r="G36" s="29">
        <f>MAX(metricas_media!L37:L200)</f>
        <v>0.8271334767</v>
      </c>
      <c r="H36" s="29">
        <f>MAX(metricas_media!M182:M199)</f>
        <v>0.7023139</v>
      </c>
      <c r="I36" s="29">
        <f>MAX(metricas_media!M37:M200)</f>
        <v>1</v>
      </c>
      <c r="J36" s="29">
        <f>MAX(metricas_media!N182:N199)</f>
        <v>0.9999999404</v>
      </c>
      <c r="K36" s="29">
        <f>MAX(metricas_media!N37:N200)</f>
        <v>0.9999999404</v>
      </c>
      <c r="L36" s="29">
        <f>MAX(metricas_media!O182:O199)</f>
        <v>0.9999999404</v>
      </c>
      <c r="M36" s="29">
        <f>MAX(metricas_media!O37:O200)</f>
        <v>1</v>
      </c>
      <c r="O36" s="30" t="s">
        <v>102</v>
      </c>
      <c r="P36" s="31">
        <f>MAX(Qwen!J2:J4)</f>
        <v>0.1741534209</v>
      </c>
      <c r="Q36" s="31">
        <f>MAX(Qwen!J5:J7)</f>
        <v>0.1604278075</v>
      </c>
      <c r="R36" s="31">
        <f>MAX(Qwen!K2:K4)</f>
        <v>0.2543192813</v>
      </c>
      <c r="S36" s="31">
        <f>MAX(Qwen!K5:K7)</f>
        <v>0.2123758594</v>
      </c>
      <c r="T36" s="31">
        <f>MAX(Qwen!L2:L4)</f>
        <v>0.7023139</v>
      </c>
      <c r="U36" s="31">
        <f>MAX(Qwen!L5:L7)</f>
        <v>0</v>
      </c>
      <c r="V36" s="31">
        <f>MAX(Qwen!M2:M4)</f>
        <v>0.6929934025</v>
      </c>
      <c r="W36" s="31">
        <f>MAX(Qwen!M5:M7)</f>
        <v>0</v>
      </c>
      <c r="X36" s="31">
        <f>MAX(Qwen!N2:N4)</f>
        <v>0.9999999404</v>
      </c>
      <c r="Y36" s="31">
        <f>MAX(Qwen!N5:N7)</f>
        <v>0.8277580142</v>
      </c>
      <c r="Z36" s="31">
        <f>MAX(Qwen!O2:O4)</f>
        <v>0.8271334767</v>
      </c>
      <c r="AA36" s="31">
        <f>MAX(Qwen!O5:O7)</f>
        <v>0.8464414477</v>
      </c>
      <c r="AC36" s="30" t="s">
        <v>102</v>
      </c>
      <c r="AD36" s="31">
        <f>MAX(Qwen!$J8:$J10)</f>
        <v>0.1716738197</v>
      </c>
      <c r="AE36" s="31">
        <f>MAX(Qwen!$J11:$J13)</f>
        <v>0.1555555556</v>
      </c>
      <c r="AF36" s="31">
        <f>MAX(Qwen!$K8:$K10)</f>
        <v>0.2289512555</v>
      </c>
      <c r="AG36" s="31">
        <f>MAX(Qwen!$K11:$K13)</f>
        <v>0.200165426</v>
      </c>
      <c r="AH36" s="31">
        <f>MAX(Qwen!$L8:$L10)</f>
        <v>0.7023139</v>
      </c>
      <c r="AI36" s="31">
        <f>MAX(Qwen!$L11:$L13)</f>
        <v>0</v>
      </c>
      <c r="AJ36" s="31">
        <f>MAX(Qwen!$M8:$M10)</f>
        <v>0.6429824233</v>
      </c>
      <c r="AK36" s="31">
        <f>MAX(Qwen!$M11:$M13)</f>
        <v>0</v>
      </c>
      <c r="AL36" s="31">
        <f>MAX(Qwen!$N8:$N10)</f>
        <v>0.9999999404</v>
      </c>
      <c r="AM36" s="31">
        <f>MAX(Qwen!$N11:$N13)</f>
        <v>0.8277580142</v>
      </c>
      <c r="AN36" s="31">
        <f>MAX(Qwen!$O8:$O10)</f>
        <v>0.6429824233</v>
      </c>
      <c r="AO36" s="31">
        <f>MAX(Qwen!$O11:$O13)</f>
        <v>0.5672008395</v>
      </c>
      <c r="AQ36" s="30" t="s">
        <v>102</v>
      </c>
      <c r="AR36" s="31">
        <f>MAX(Qwen!$J14:$J16)</f>
        <v>0.1919642857</v>
      </c>
      <c r="AS36" s="31">
        <f>MAX(Qwen!$J17:$J19)</f>
        <v>0.1691542289</v>
      </c>
      <c r="AT36" s="31">
        <f>MAX(Qwen!$K14:$K16)</f>
        <v>0.255952381</v>
      </c>
      <c r="AU36" s="31">
        <f>MAX(Qwen!$K17:$K19)</f>
        <v>0.2437810945</v>
      </c>
      <c r="AV36" s="31">
        <f>MAX(Qwen!$L14:$L16)</f>
        <v>0.7023139</v>
      </c>
      <c r="AW36" s="31">
        <f>MAX(Qwen!$L17:$L19)</f>
        <v>0</v>
      </c>
      <c r="AX36" s="31">
        <f>MAX(Qwen!$M14:$M16)</f>
        <v>0.7023139</v>
      </c>
      <c r="AY36" s="31">
        <f>MAX(Qwen!$M17:$M19)</f>
        <v>0</v>
      </c>
      <c r="AZ36" s="31">
        <f>MAX(Qwen!$N14:$N16)</f>
        <v>0.9999999404</v>
      </c>
      <c r="BA36" s="31">
        <f>MAX(Qwen!$N17:$N19)</f>
        <v>0.8277580142</v>
      </c>
      <c r="BB36" s="31">
        <f>MAX(Qwen!$O14:$O16)</f>
        <v>0.9999999404</v>
      </c>
      <c r="BC36" s="31">
        <f>MAX(Qwen!$O17:$O19)</f>
        <v>0.8277580142</v>
      </c>
      <c r="BE36" s="30" t="s">
        <v>102</v>
      </c>
      <c r="BF36" s="31">
        <f>MAX(Qwen!$J20:$J22)</f>
        <v>0.1739130435</v>
      </c>
      <c r="BG36" s="31">
        <f>MAX(Qwen!$J23:$J25)</f>
        <v>0.1708737864</v>
      </c>
      <c r="BH36" s="31">
        <f>MAX(Qwen!$K20:$K22)</f>
        <v>0.2559474979</v>
      </c>
      <c r="BI36" s="31">
        <f>MAX(Qwen!$K23:$K25)</f>
        <v>0.216466235</v>
      </c>
      <c r="BJ36" s="31">
        <f>MAX(Qwen!$L20:$L22)</f>
        <v>0.7023139</v>
      </c>
      <c r="BK36" s="31">
        <f>MAX(Qwen!$L23:$L25)</f>
        <v>0</v>
      </c>
      <c r="BL36" s="31">
        <f>MAX(Qwen!$M20:$M22)</f>
        <v>0.7023139</v>
      </c>
      <c r="BM36" s="31">
        <f>MAX(Qwen!$M23:$M25)</f>
        <v>0</v>
      </c>
      <c r="BN36" s="31">
        <f>MAX(Qwen!$N20:$N22)</f>
        <v>0.9999999404</v>
      </c>
      <c r="BO36" s="31">
        <f>MAX(Qwen!$N23:$N25)</f>
        <v>0.8277580142</v>
      </c>
      <c r="BP36" s="31">
        <f>MAX(Qwen!$O20:$O22)</f>
        <v>0.9999999404</v>
      </c>
      <c r="BQ36" s="31">
        <f>MAX(Qwen!$O23:$O25)</f>
        <v>0.8277580142</v>
      </c>
      <c r="BS36" s="30" t="s">
        <v>102</v>
      </c>
      <c r="BT36" s="31">
        <f>MAX(Qwen!$J26:$J28)</f>
        <v>0.1861656704</v>
      </c>
      <c r="BU36" s="31">
        <f>MAX(Qwen!$J29:$J31)</f>
        <v>0.183299389</v>
      </c>
      <c r="BV36" s="31">
        <f>MAX(Qwen!$K26:$K28)</f>
        <v>0.2613151153</v>
      </c>
      <c r="BW36" s="31">
        <f>MAX(Qwen!$K29:$K31)</f>
        <v>0.2362052275</v>
      </c>
      <c r="BX36" s="31">
        <f>MAX(Qwen!$L26:$L28)</f>
        <v>0.7023139</v>
      </c>
      <c r="BY36" s="31">
        <f>MAX(Qwen!$L29:$L31)</f>
        <v>0</v>
      </c>
      <c r="BZ36" s="31">
        <f>MAX(Qwen!$M26:$M28)</f>
        <v>0.7023139</v>
      </c>
      <c r="CA36" s="31">
        <f>MAX(Qwen!$M29:$M31)</f>
        <v>0</v>
      </c>
      <c r="CB36" s="31">
        <f>MAX(Qwen!$N26:$N28)</f>
        <v>0.9999999404</v>
      </c>
      <c r="CC36" s="31">
        <f>MAX(Qwen!$N29:$N31)</f>
        <v>0.8277580142</v>
      </c>
      <c r="CD36" s="31">
        <f>MAX(Qwen!$O26:$O28)</f>
        <v>0.9999999404</v>
      </c>
      <c r="CE36" s="31">
        <f>MAX(Qwen!$O29:$O31)</f>
        <v>0.8277580142</v>
      </c>
      <c r="CG36" s="30" t="s">
        <v>102</v>
      </c>
      <c r="CH36" s="31">
        <f>MAX(Qwen!$J32:$J34)</f>
        <v>0.1842105263</v>
      </c>
      <c r="CI36" s="31">
        <f>MAX(Qwen!$J35:$J37)</f>
        <v>0.1907308378</v>
      </c>
      <c r="CJ36" s="31">
        <f>MAX(Qwen!$K32:$K34)</f>
        <v>0.2682539683</v>
      </c>
      <c r="CK36" s="31">
        <f>MAX(Qwen!$K35:$K37)</f>
        <v>0.2549019608</v>
      </c>
      <c r="CL36" s="31">
        <f>MAX(Qwen!$L32:$L34)</f>
        <v>0.7023139</v>
      </c>
      <c r="CM36" s="31">
        <f>MAX(Qwen!$L35:$L37)</f>
        <v>0</v>
      </c>
      <c r="CN36" s="31">
        <f>MAX(Qwen!$M32:$M34)</f>
        <v>0.7023139</v>
      </c>
      <c r="CO36" s="31">
        <f>MAX(Qwen!$M35:$M37)</f>
        <v>0</v>
      </c>
      <c r="CP36" s="31">
        <f>MAX(Qwen!$N32:$N34)</f>
        <v>0.9999999404</v>
      </c>
      <c r="CQ36" s="31">
        <f>MAX(Qwen!$N35:$N37)</f>
        <v>0.8277580142</v>
      </c>
      <c r="CR36" s="31">
        <f>MAX(Qwen!$O32:$O34)</f>
        <v>0.9999999404</v>
      </c>
      <c r="CS36" s="31">
        <f>MAX(Qwen!$O35:$O37)</f>
        <v>0.8277580142</v>
      </c>
    </row>
    <row r="37" ht="15.75" customHeight="1">
      <c r="A37" s="28" t="s">
        <v>103</v>
      </c>
      <c r="B37" s="29">
        <f>MAX(metricas_media!J74:J91)</f>
        <v>0.2137184116</v>
      </c>
      <c r="C37" s="29">
        <f>MAX(metricas_media!J92:J109)</f>
        <v>0.2055335968</v>
      </c>
      <c r="D37" s="29">
        <f>MAX(metricas_media!K74:K91)</f>
        <v>0.2940776038</v>
      </c>
      <c r="E37" s="29">
        <f>MAX(metricas_media!K92:K109)</f>
        <v>0.2747559275</v>
      </c>
      <c r="F37" s="29">
        <f>MAX(metricas_media!L74:L91)</f>
        <v>0</v>
      </c>
      <c r="G37" s="29">
        <f>MAX(metricas_media!L92:L109)</f>
        <v>0</v>
      </c>
      <c r="H37" s="29">
        <f>MAX(metricas_media!M74:M91)</f>
        <v>0</v>
      </c>
      <c r="I37" s="29">
        <f>MAX(metricas_media!M92:M109)</f>
        <v>0</v>
      </c>
      <c r="J37" s="29">
        <f>MAX(metricas_media!N74:N91)</f>
        <v>0.9999999404</v>
      </c>
      <c r="K37" s="29">
        <f>MAX(metricas_media!N92:N109)</f>
        <v>0.9999999404</v>
      </c>
      <c r="L37" s="29">
        <f>MAX(metricas_media!O74:O91)</f>
        <v>0.9999999404</v>
      </c>
      <c r="M37" s="29">
        <f>MAX(metricas_media!O92:O109)</f>
        <v>0.9999999404</v>
      </c>
      <c r="O37" s="30" t="s">
        <v>103</v>
      </c>
      <c r="P37" s="31">
        <f>MAX(Llama!J2:J4)</f>
        <v>0.193236715</v>
      </c>
      <c r="Q37" s="31">
        <f>MAX(Llama!J5:J7)</f>
        <v>0.1937075879</v>
      </c>
      <c r="R37" s="31">
        <f>MAX(Llama!K2:K4)</f>
        <v>0.2669082126</v>
      </c>
      <c r="S37" s="31">
        <f>MAX(Llama!K5:K7)</f>
        <v>0.2463186078</v>
      </c>
      <c r="T37" s="31">
        <f>MAX(Llama!L2:L4)</f>
        <v>0</v>
      </c>
      <c r="U37" s="31">
        <f>MAX(Llama!L5:L7)</f>
        <v>0</v>
      </c>
      <c r="V37" s="31">
        <f>MAX(Llama!M2:M4)</f>
        <v>0</v>
      </c>
      <c r="W37" s="31">
        <f>MAX(Llama!M5:M7)</f>
        <v>0</v>
      </c>
      <c r="X37" s="31">
        <f>MAX(Llama!N2:N4)</f>
        <v>0.9999999404</v>
      </c>
      <c r="Y37" s="31">
        <f>MAX(Llama!N5:N7)</f>
        <v>0.9999999404</v>
      </c>
      <c r="Z37" s="31">
        <f>MAX(Llama!O2:O4)</f>
        <v>0.8271334767</v>
      </c>
      <c r="AA37" s="31">
        <f>MAX(Llama!O5:O7)</f>
        <v>0.8271334767</v>
      </c>
      <c r="AC37" s="30" t="s">
        <v>103</v>
      </c>
      <c r="AD37" s="31">
        <f>MAX(Llama!$J8:$J10)</f>
        <v>0.1841941506</v>
      </c>
      <c r="AE37" s="31">
        <f>MAX(Llama!$J11:$J13)</f>
        <v>0.2006644518</v>
      </c>
      <c r="AF37" s="31">
        <f>MAX(Llama!$K8:$K10)</f>
        <v>0.2501555694</v>
      </c>
      <c r="AG37" s="31">
        <f>MAX(Llama!$K11:$K13)</f>
        <v>0.2366782007</v>
      </c>
      <c r="AH37" s="31">
        <f>MAX(Llama!$L8:$L10)</f>
        <v>0</v>
      </c>
      <c r="AI37" s="31">
        <f>MAX(Llama!$L11:$L13)</f>
        <v>0</v>
      </c>
      <c r="AJ37" s="31">
        <f>MAX(Llama!$M8:$M10)</f>
        <v>0</v>
      </c>
      <c r="AK37" s="31">
        <f>MAX(Llama!$M11:$M13)</f>
        <v>0</v>
      </c>
      <c r="AL37" s="31">
        <f>MAX(Llama!$N8:$N10)</f>
        <v>0.9999999404</v>
      </c>
      <c r="AM37" s="31">
        <f>MAX(Llama!$N11:$N13)</f>
        <v>0.9999999404</v>
      </c>
      <c r="AN37" s="31">
        <f>MAX(Llama!$O8:$O10)</f>
        <v>0.5545380712</v>
      </c>
      <c r="AO37" s="31">
        <f>MAX(Llama!$O11:$O13)</f>
        <v>0.5545380712</v>
      </c>
      <c r="AQ37" s="30" t="s">
        <v>103</v>
      </c>
      <c r="AR37" s="31">
        <f>MAX(Llama!$J14:$J16)</f>
        <v>0.2137184116</v>
      </c>
      <c r="AS37" s="31">
        <f>MAX(Llama!$J17:$J19)</f>
        <v>0.2055335968</v>
      </c>
      <c r="AT37" s="31">
        <f>MAX(Llama!$K14:$K16)</f>
        <v>0.2807469414</v>
      </c>
      <c r="AU37" s="31">
        <f>MAX(Llama!$K17:$K19)</f>
        <v>0.2437417655</v>
      </c>
      <c r="AV37" s="31">
        <f>MAX(Llama!$L14:$L16)</f>
        <v>0</v>
      </c>
      <c r="AW37" s="31">
        <f>MAX(Llama!$L17:$L19)</f>
        <v>0</v>
      </c>
      <c r="AX37" s="31">
        <f>MAX(Llama!$M14:$M16)</f>
        <v>0</v>
      </c>
      <c r="AY37" s="31">
        <f>MAX(Llama!$M17:$M19)</f>
        <v>0</v>
      </c>
      <c r="AZ37" s="31">
        <f>MAX(Llama!$N14:$N16)</f>
        <v>0.9999999404</v>
      </c>
      <c r="BA37" s="31">
        <f>MAX(Llama!$N17:$N19)</f>
        <v>0.9999999404</v>
      </c>
      <c r="BB37" s="31">
        <f>MAX(Llama!$O14:$O16)</f>
        <v>0.9999999404</v>
      </c>
      <c r="BC37" s="31">
        <f>MAX(Llama!$O17:$O19)</f>
        <v>0.9999999404</v>
      </c>
      <c r="BE37" s="30" t="s">
        <v>103</v>
      </c>
      <c r="BF37" s="31">
        <f>MAX(Llama!$J20:$J22)</f>
        <v>0.1902515723</v>
      </c>
      <c r="BG37" s="31">
        <f>MAX(Llama!$J23:$J25)</f>
        <v>0.1909547739</v>
      </c>
      <c r="BH37" s="31">
        <f>MAX(Llama!$K20:$K22)</f>
        <v>0.2633053221</v>
      </c>
      <c r="BI37" s="31">
        <f>MAX(Llama!$K23:$K25)</f>
        <v>0.2613065327</v>
      </c>
      <c r="BJ37" s="31">
        <f>MAX(Llama!$L20:$L22)</f>
        <v>0</v>
      </c>
      <c r="BK37" s="31">
        <f>MAX(Llama!$L23:$L25)</f>
        <v>0</v>
      </c>
      <c r="BL37" s="31">
        <f>MAX(Llama!$M20:$M22)</f>
        <v>0</v>
      </c>
      <c r="BM37" s="31">
        <f>MAX(Llama!$M23:$M25)</f>
        <v>0</v>
      </c>
      <c r="BN37" s="31">
        <f>MAX(Llama!$N20:$N22)</f>
        <v>0.9999999404</v>
      </c>
      <c r="BO37" s="31">
        <f>MAX(Llama!$N23:$N25)</f>
        <v>0.9999999404</v>
      </c>
      <c r="BP37" s="31">
        <f>MAX(Llama!$O20:$O22)</f>
        <v>0.9999999404</v>
      </c>
      <c r="BQ37" s="31">
        <f>MAX(Llama!$O23:$O25)</f>
        <v>0.9999999404</v>
      </c>
      <c r="BS37" s="30" t="s">
        <v>103</v>
      </c>
      <c r="BT37" s="31">
        <f>MAX(Llama!$J26:$J28)</f>
        <v>0.201320132</v>
      </c>
      <c r="BU37" s="31">
        <f>MAX(Llama!$J29:$J31)</f>
        <v>0.2037174721</v>
      </c>
      <c r="BV37" s="31">
        <f>MAX(Llama!$K26:$K28)</f>
        <v>0.2782608696</v>
      </c>
      <c r="BW37" s="31">
        <f>MAX(Llama!$K29:$K31)</f>
        <v>0.2725779967</v>
      </c>
      <c r="BX37" s="31">
        <f>MAX(Llama!$L26:$L28)</f>
        <v>0</v>
      </c>
      <c r="BY37" s="31">
        <f>MAX(Llama!$L29:$L31)</f>
        <v>0</v>
      </c>
      <c r="BZ37" s="31">
        <f>MAX(Llama!$M26:$M28)</f>
        <v>0</v>
      </c>
      <c r="CA37" s="31">
        <f>MAX(Llama!$M29:$M31)</f>
        <v>0</v>
      </c>
      <c r="CB37" s="31">
        <f>MAX(Llama!$N26:$N28)</f>
        <v>0.9999999404</v>
      </c>
      <c r="CC37" s="31">
        <f>MAX(Llama!$N29:$N31)</f>
        <v>0.9999999404</v>
      </c>
      <c r="CD37" s="31">
        <f>MAX(Llama!$O26:$O28)</f>
        <v>0.9999999404</v>
      </c>
      <c r="CE37" s="31">
        <f>MAX(Llama!$O29:$O31)</f>
        <v>0.9999999404</v>
      </c>
      <c r="CG37" s="30" t="s">
        <v>103</v>
      </c>
      <c r="CH37" s="31">
        <f>MAX(Llama!$J32:$J34)</f>
        <v>0.2121445042</v>
      </c>
      <c r="CI37" s="31">
        <f>MAX(Llama!$J35:$J37)</f>
        <v>0.1994421199</v>
      </c>
      <c r="CJ37" s="31">
        <f>MAX(Llama!$K32:$K34)</f>
        <v>0.2940776038</v>
      </c>
      <c r="CK37" s="31">
        <f>MAX(Llama!$K35:$K37)</f>
        <v>0.2747559275</v>
      </c>
      <c r="CL37" s="31">
        <f>MAX(Llama!$L32:$L34)</f>
        <v>0</v>
      </c>
      <c r="CM37" s="31">
        <f>MAX(Llama!$L35:$L37)</f>
        <v>0</v>
      </c>
      <c r="CN37" s="31">
        <f>MAX(Llama!$M32:$M34)</f>
        <v>0</v>
      </c>
      <c r="CO37" s="31">
        <f>MAX(Llama!$M35:$M37)</f>
        <v>0</v>
      </c>
      <c r="CP37" s="31">
        <f>MAX(Llama!$N32:$N34)</f>
        <v>0.9999999404</v>
      </c>
      <c r="CQ37" s="31">
        <f>MAX(Llama!$N35:$N37)</f>
        <v>0.9999999404</v>
      </c>
      <c r="CR37" s="31">
        <f>MAX(Llama!$O32:$O34)</f>
        <v>0.9999999404</v>
      </c>
      <c r="CS37" s="31">
        <f>MAX(Llama!$O35:$O37)</f>
        <v>0.9999999404</v>
      </c>
    </row>
    <row r="38" ht="15.75" customHeight="1">
      <c r="A38" s="28" t="s">
        <v>104</v>
      </c>
      <c r="B38" s="29">
        <f>MAX(metricas_media!J110:J127)</f>
        <v>0.1900519673</v>
      </c>
      <c r="C38" s="29">
        <f>MAX(metricas_media!J128:J145)</f>
        <v>0.2005457026</v>
      </c>
      <c r="D38" s="29">
        <f>MAX(metricas_media!K110:K127)</f>
        <v>0.2831541219</v>
      </c>
      <c r="E38" s="29">
        <f>MAX(metricas_media!K128:K145)</f>
        <v>0.2877030162</v>
      </c>
      <c r="F38" s="29">
        <f>MAX(metricas_media!L110:L127)</f>
        <v>0</v>
      </c>
      <c r="G38" s="29">
        <f>MAX(metricas_media!L128:L145)</f>
        <v>0</v>
      </c>
      <c r="H38" s="29">
        <f>MAX(metricas_media!M110:M127)</f>
        <v>0</v>
      </c>
      <c r="I38" s="29">
        <f>MAX(metricas_media!M128:M145)</f>
        <v>0</v>
      </c>
      <c r="J38" s="29">
        <f>MAX(metricas_media!N110:N127)</f>
        <v>0.9999999404</v>
      </c>
      <c r="K38" s="29">
        <f>MAX(metricas_media!N128:N145)</f>
        <v>0.9999999404</v>
      </c>
      <c r="L38" s="29">
        <f>MAX(metricas_media!O110:O127)</f>
        <v>0.9999999404</v>
      </c>
      <c r="M38" s="29">
        <f>MAX(metricas_media!O128:O145)</f>
        <v>0.9999999404</v>
      </c>
      <c r="O38" s="30" t="s">
        <v>104</v>
      </c>
      <c r="P38" s="31">
        <f>MAX(Mixtral!J2:J4)</f>
        <v>0.186440678</v>
      </c>
      <c r="Q38" s="31">
        <f>MAX(Mixtral!J5:J7)</f>
        <v>0.1988527725</v>
      </c>
      <c r="R38" s="31">
        <f>MAX(Mixtral!K2:K4)</f>
        <v>0.2513661202</v>
      </c>
      <c r="S38" s="31">
        <f>MAX(Mixtral!K5:K7)</f>
        <v>0.2676864245</v>
      </c>
      <c r="T38" s="31">
        <f>MAX(Mixtral!L2:L4)</f>
        <v>0</v>
      </c>
      <c r="U38" s="31">
        <f>MAX(Mixtral!L5:L7)</f>
        <v>0</v>
      </c>
      <c r="V38" s="31">
        <f>MAX(Mixtral!M2:M4)</f>
        <v>0</v>
      </c>
      <c r="W38" s="31">
        <f>MAX(Mixtral!M5:M7)</f>
        <v>0</v>
      </c>
      <c r="X38" s="31">
        <f>MAX(Mixtral!N2:N4)</f>
        <v>0.9999999404</v>
      </c>
      <c r="Y38" s="31">
        <f>MAX(Mixtral!N5:N7)</f>
        <v>0.9999999404</v>
      </c>
      <c r="Z38" s="31">
        <f>MAX(Mixtral!O2:O4)</f>
        <v>0.8271334767</v>
      </c>
      <c r="AA38" s="31">
        <f>MAX(Mixtral!O5:O7)</f>
        <v>0.8271334767</v>
      </c>
      <c r="AC38" s="30" t="s">
        <v>104</v>
      </c>
      <c r="AD38" s="31">
        <f>MAX(Mixtral!$J8:$J10)</f>
        <v>0.1809187279</v>
      </c>
      <c r="AE38" s="31">
        <f>MAX(Mixtral!$J11:$J13)</f>
        <v>0.1789473684</v>
      </c>
      <c r="AF38" s="31">
        <f>MAX(Mixtral!$K8:$K10)</f>
        <v>0.2410774411</v>
      </c>
      <c r="AG38" s="31">
        <f>MAX(Mixtral!$K11:$K13)</f>
        <v>0.2552631579</v>
      </c>
      <c r="AH38" s="31">
        <f>MAX(Mixtral!$L8:$L10)</f>
        <v>0</v>
      </c>
      <c r="AI38" s="31">
        <f>MAX(Mixtral!$L11:$L13)</f>
        <v>0</v>
      </c>
      <c r="AJ38" s="31">
        <f>MAX(Mixtral!$M8:$M10)</f>
        <v>0</v>
      </c>
      <c r="AK38" s="31">
        <f>MAX(Mixtral!$M11:$M13)</f>
        <v>0</v>
      </c>
      <c r="AL38" s="31">
        <f>MAX(Mixtral!$N8:$N10)</f>
        <v>0.9999999404</v>
      </c>
      <c r="AM38" s="31">
        <f>MAX(Mixtral!$N11:$N13)</f>
        <v>0.9999999404</v>
      </c>
      <c r="AN38" s="31">
        <f>MAX(Mixtral!$O8:$O10)</f>
        <v>0.5545380712</v>
      </c>
      <c r="AO38" s="31">
        <f>MAX(Mixtral!$O11:$O13)</f>
        <v>0.5545380712</v>
      </c>
      <c r="AQ38" s="30" t="s">
        <v>104</v>
      </c>
      <c r="AR38" s="31">
        <f>MAX(Mixtral!$J14:$J16)</f>
        <v>0.1872816212</v>
      </c>
      <c r="AS38" s="31">
        <f>MAX(Mixtral!$J17:$J19)</f>
        <v>0.2005457026</v>
      </c>
      <c r="AT38" s="31">
        <f>MAX(Mixtral!$K14:$K16)</f>
        <v>0.2571638501</v>
      </c>
      <c r="AU38" s="31">
        <f>MAX(Mixtral!$K17:$K19)</f>
        <v>0.272851296</v>
      </c>
      <c r="AV38" s="31">
        <f>MAX(Mixtral!$L14:$L16)</f>
        <v>0</v>
      </c>
      <c r="AW38" s="31">
        <f>MAX(Mixtral!$L17:$L19)</f>
        <v>0</v>
      </c>
      <c r="AX38" s="31">
        <f>MAX(Mixtral!$M14:$M16)</f>
        <v>0</v>
      </c>
      <c r="AY38" s="31">
        <f>MAX(Mixtral!$M17:$M19)</f>
        <v>0</v>
      </c>
      <c r="AZ38" s="31">
        <f>MAX(Mixtral!$N14:$N16)</f>
        <v>0.9999999404</v>
      </c>
      <c r="BA38" s="31">
        <f>MAX(Mixtral!$N17:$N19)</f>
        <v>0.9999999404</v>
      </c>
      <c r="BB38" s="31">
        <f>MAX(Mixtral!$O14:$O16)</f>
        <v>0.9999999404</v>
      </c>
      <c r="BC38" s="31">
        <f>MAX(Mixtral!$O17:$O19)</f>
        <v>0.9999999404</v>
      </c>
      <c r="BE38" s="30" t="s">
        <v>104</v>
      </c>
      <c r="BF38" s="31">
        <f>MAX(Mixtral!$J20:$J22)</f>
        <v>0.1868300153</v>
      </c>
      <c r="BG38" s="31">
        <f>MAX(Mixtral!$J23:$J25)</f>
        <v>0.1849366145</v>
      </c>
      <c r="BH38" s="31">
        <f>MAX(Mixtral!$K20:$K22)</f>
        <v>0.2664624809</v>
      </c>
      <c r="BI38" s="31">
        <f>MAX(Mixtral!$K23:$K25)</f>
        <v>0.2490678598</v>
      </c>
      <c r="BJ38" s="31">
        <f>MAX(Mixtral!$L20:$L22)</f>
        <v>0</v>
      </c>
      <c r="BK38" s="31">
        <f>MAX(Mixtral!$L23:$L25)</f>
        <v>0</v>
      </c>
      <c r="BL38" s="31">
        <f>MAX(Mixtral!$M20:$M22)</f>
        <v>0</v>
      </c>
      <c r="BM38" s="31">
        <f>MAX(Mixtral!$M23:$M25)</f>
        <v>0</v>
      </c>
      <c r="BN38" s="31">
        <f>MAX(Mixtral!$N20:$N22)</f>
        <v>0.9999999404</v>
      </c>
      <c r="BO38" s="31">
        <f>MAX(Mixtral!$N23:$N25)</f>
        <v>0.9999999404</v>
      </c>
      <c r="BP38" s="31">
        <f>MAX(Mixtral!$O20:$O22)</f>
        <v>0.9999999404</v>
      </c>
      <c r="BQ38" s="31">
        <f>MAX(Mixtral!$O23:$O25)</f>
        <v>0.9999999404</v>
      </c>
      <c r="BS38" s="30" t="s">
        <v>104</v>
      </c>
      <c r="BT38" s="31">
        <f>MAX(Mixtral!$J26:$J28)</f>
        <v>0.1899641577</v>
      </c>
      <c r="BU38" s="31">
        <f>MAX(Mixtral!$J29:$J31)</f>
        <v>0.1979891725</v>
      </c>
      <c r="BV38" s="31">
        <f>MAX(Mixtral!$K26:$K28)</f>
        <v>0.2831541219</v>
      </c>
      <c r="BW38" s="31">
        <f>MAX(Mixtral!$K29:$K31)</f>
        <v>0.2877030162</v>
      </c>
      <c r="BX38" s="31">
        <f>MAX(Mixtral!$L26:$L28)</f>
        <v>0</v>
      </c>
      <c r="BY38" s="31">
        <f>MAX(Mixtral!$L29:$L31)</f>
        <v>0</v>
      </c>
      <c r="BZ38" s="31">
        <f>MAX(Mixtral!$M26:$M28)</f>
        <v>0</v>
      </c>
      <c r="CA38" s="31">
        <f>MAX(Mixtral!$M29:$M31)</f>
        <v>0</v>
      </c>
      <c r="CB38" s="31">
        <f>MAX(Mixtral!$N26:$N28)</f>
        <v>0.9999999404</v>
      </c>
      <c r="CC38" s="31">
        <f>MAX(Mixtral!$N29:$N31)</f>
        <v>0.9999999404</v>
      </c>
      <c r="CD38" s="31">
        <f>MAX(Mixtral!$O26:$O28)</f>
        <v>0.9999999404</v>
      </c>
      <c r="CE38" s="31">
        <f>MAX(Mixtral!$O29:$O31)</f>
        <v>0.9999999404</v>
      </c>
      <c r="CG38" s="30" t="s">
        <v>104</v>
      </c>
      <c r="CH38" s="31">
        <f>MAX(Mixtral!$J32:$J34)</f>
        <v>0.1900519673</v>
      </c>
      <c r="CI38" s="31">
        <f>MAX(Mixtral!$J35:$J37)</f>
        <v>0.1939218524</v>
      </c>
      <c r="CJ38" s="31">
        <f>MAX(Mixtral!$K32:$K34)</f>
        <v>0.276169265</v>
      </c>
      <c r="CK38" s="31">
        <f>MAX(Mixtral!$K35:$K37)</f>
        <v>0.2807525326</v>
      </c>
      <c r="CL38" s="31">
        <f>MAX(Mixtral!$L32:$L34)</f>
        <v>0</v>
      </c>
      <c r="CM38" s="31">
        <f>MAX(Mixtral!$L35:$L37)</f>
        <v>0</v>
      </c>
      <c r="CN38" s="31">
        <f>MAX(Mixtral!$M32:$M34)</f>
        <v>0</v>
      </c>
      <c r="CO38" s="31">
        <f>MAX(Mixtral!$M35:$M37)</f>
        <v>0</v>
      </c>
      <c r="CP38" s="31">
        <f>MAX(Mixtral!$N32:$N34)</f>
        <v>0.9999999404</v>
      </c>
      <c r="CQ38" s="31">
        <f>MAX(Mixtral!$N35:$N37)</f>
        <v>0.9999999404</v>
      </c>
      <c r="CR38" s="31">
        <f>MAX(Mixtral!$O32:$O34)</f>
        <v>0.9999999404</v>
      </c>
      <c r="CS38" s="31">
        <f>MAX(Mixtral!$O35:$O37)</f>
        <v>0.9999999404</v>
      </c>
    </row>
    <row r="39" ht="15.75" customHeight="1">
      <c r="A39" s="28" t="s">
        <v>105</v>
      </c>
      <c r="B39" s="29">
        <f>MAX(metricas_media!J146:J163)</f>
        <v>0.183600713</v>
      </c>
      <c r="C39" s="29">
        <f>MAX(metricas_media!J164:J181)</f>
        <v>0.1873373807</v>
      </c>
      <c r="D39" s="29">
        <f>MAX(metricas_media!K146:K163)</f>
        <v>0.2323330106</v>
      </c>
      <c r="E39" s="29">
        <f>MAX(metricas_media!K164:K181)</f>
        <v>0.2540983607</v>
      </c>
      <c r="F39" s="29">
        <f>MAX(metricas_media!L146:L163)</f>
        <v>0</v>
      </c>
      <c r="G39" s="29">
        <f>MAX(metricas_media!L164:L181)</f>
        <v>0.8271334767</v>
      </c>
      <c r="H39" s="29">
        <f>MAX(metricas_media!M146:M163)</f>
        <v>0</v>
      </c>
      <c r="I39" s="29">
        <f>MAX(metricas_media!M164:M181)</f>
        <v>1</v>
      </c>
      <c r="J39" s="29">
        <f>MAX(metricas_media!N146:N163)</f>
        <v>0.7693519592</v>
      </c>
      <c r="K39" s="29">
        <f>MAX(metricas_media!N164:N181)</f>
        <v>0.8271334767</v>
      </c>
      <c r="L39" s="29">
        <f>MAX(metricas_media!O146:O163)</f>
        <v>0.8153265715</v>
      </c>
      <c r="M39" s="29">
        <f>MAX(metricas_media!O164:O181)</f>
        <v>1</v>
      </c>
      <c r="O39" s="30" t="s">
        <v>105</v>
      </c>
      <c r="P39" s="31">
        <f>MAX(Phi!J2:J4)</f>
        <v>0.1527883881</v>
      </c>
      <c r="Q39" s="31">
        <f>MAX(Phi!J5:J7)</f>
        <v>0.1656716418</v>
      </c>
      <c r="R39" s="31">
        <f>MAX(Phi!K2:K4)</f>
        <v>0.1940412529</v>
      </c>
      <c r="S39" s="31">
        <f>MAX(Phi!K5:K7)</f>
        <v>0.2149253731</v>
      </c>
      <c r="T39" s="31">
        <f>MAX(Phi!L2:L4)</f>
        <v>0</v>
      </c>
      <c r="U39" s="31">
        <f>MAX(Phi!L5:L7)</f>
        <v>0.8271334767</v>
      </c>
      <c r="V39" s="31">
        <f>MAX(Phi!M2:M4)</f>
        <v>0</v>
      </c>
      <c r="W39" s="31">
        <f>MAX(Phi!M5:M7)</f>
        <v>1</v>
      </c>
      <c r="X39" s="31">
        <f>MAX(Phi!N2:N4)</f>
        <v>0.7693519592</v>
      </c>
      <c r="Y39" s="31">
        <f>MAX(Phi!N5:N7)</f>
        <v>0.8271334767</v>
      </c>
      <c r="Z39" s="31">
        <f>MAX(Phi!O2:O4)</f>
        <v>0.8153265715</v>
      </c>
      <c r="AA39" s="31">
        <f>MAX(Phi!O5:O7)</f>
        <v>1</v>
      </c>
      <c r="AC39" s="30" t="s">
        <v>105</v>
      </c>
      <c r="AD39" s="31">
        <f>MAX(Phi!$J8:$J10)</f>
        <v>0.1619047619</v>
      </c>
      <c r="AE39" s="31">
        <f>MAX(Phi!$J11:$J13)</f>
        <v>0.1595662277</v>
      </c>
      <c r="AF39" s="31">
        <f>MAX(Phi!$K8:$K10)</f>
        <v>0.1947194719</v>
      </c>
      <c r="AG39" s="31">
        <f>MAX(Phi!$K11:$K13)</f>
        <v>0.2106893881</v>
      </c>
      <c r="AH39" s="31">
        <f>MAX(Phi!$L8:$L10)</f>
        <v>0</v>
      </c>
      <c r="AI39" s="31">
        <f>MAX(Phi!$L11:$L13)</f>
        <v>0.8271334767</v>
      </c>
      <c r="AJ39" s="31">
        <f>MAX(Phi!$M8:$M10)</f>
        <v>0</v>
      </c>
      <c r="AK39" s="31">
        <f>MAX(Phi!$M11:$M13)</f>
        <v>0.6429824233</v>
      </c>
      <c r="AL39" s="31">
        <f>MAX(Phi!$N8:$N10)</f>
        <v>0.7693519592</v>
      </c>
      <c r="AM39" s="31">
        <f>MAX(Phi!$N11:$N13)</f>
        <v>0.8271334767</v>
      </c>
      <c r="AN39" s="31">
        <f>MAX(Phi!$O8:$O10)</f>
        <v>0.4874948859</v>
      </c>
      <c r="AO39" s="31">
        <f>MAX(Phi!$O11:$O13)</f>
        <v>0.6429824233</v>
      </c>
      <c r="AQ39" s="30" t="s">
        <v>105</v>
      </c>
      <c r="AR39" s="31">
        <f>MAX(Phi!$J14:$J16)</f>
        <v>0.1691542289</v>
      </c>
      <c r="AS39" s="31">
        <f>MAX(Phi!$J17:$J19)</f>
        <v>0.1822466614</v>
      </c>
      <c r="AT39" s="31">
        <f>MAX(Phi!$K14:$K16)</f>
        <v>0.223880597</v>
      </c>
      <c r="AU39" s="31">
        <f>MAX(Phi!$K17:$K19)</f>
        <v>0.2285276074</v>
      </c>
      <c r="AV39" s="31">
        <f>MAX(Phi!$L14:$L16)</f>
        <v>0</v>
      </c>
      <c r="AW39" s="31">
        <f>MAX(Phi!$L17:$L19)</f>
        <v>0.8271334767</v>
      </c>
      <c r="AX39" s="31">
        <f>MAX(Phi!$M14:$M16)</f>
        <v>0</v>
      </c>
      <c r="AY39" s="31">
        <f>MAX(Phi!$M17:$M19)</f>
        <v>0.8271334767</v>
      </c>
      <c r="AZ39" s="31">
        <f>MAX(Phi!$N14:$N16)</f>
        <v>0.7693519592</v>
      </c>
      <c r="BA39" s="31">
        <f>MAX(Phi!$N17:$N19)</f>
        <v>0.8271334767</v>
      </c>
      <c r="BB39" s="31">
        <f>MAX(Phi!$O14:$O16)</f>
        <v>0.7693519592</v>
      </c>
      <c r="BC39" s="31">
        <f>MAX(Phi!$O17:$O19)</f>
        <v>0.8271334767</v>
      </c>
      <c r="BE39" s="30" t="s">
        <v>105</v>
      </c>
      <c r="BF39" s="31">
        <f>MAX(Phi!$J20:$J22)</f>
        <v>0.1646623497</v>
      </c>
      <c r="BG39" s="31">
        <f>MAX(Phi!$J23:$J25)</f>
        <v>0.1707317073</v>
      </c>
      <c r="BH39" s="31">
        <f>MAX(Phi!$K20:$K22)</f>
        <v>0.1979648474</v>
      </c>
      <c r="BI39" s="31">
        <f>MAX(Phi!$K23:$K25)</f>
        <v>0.2317073171</v>
      </c>
      <c r="BJ39" s="31">
        <f>MAX(Phi!$L20:$L22)</f>
        <v>0</v>
      </c>
      <c r="BK39" s="31">
        <f>MAX(Phi!$L23:$L25)</f>
        <v>0.8271334767</v>
      </c>
      <c r="BL39" s="31">
        <f>MAX(Phi!$M20:$M22)</f>
        <v>0</v>
      </c>
      <c r="BM39" s="31">
        <f>MAX(Phi!$M23:$M25)</f>
        <v>0.8271334767</v>
      </c>
      <c r="BN39" s="31">
        <f>MAX(Phi!$N20:$N22)</f>
        <v>0.7693519592</v>
      </c>
      <c r="BO39" s="31">
        <f>MAX(Phi!$N23:$N25)</f>
        <v>0.8271334767</v>
      </c>
      <c r="BP39" s="31">
        <f>MAX(Phi!$O20:$O22)</f>
        <v>0.7693519592</v>
      </c>
      <c r="BQ39" s="31">
        <f>MAX(Phi!$O23:$O25)</f>
        <v>0.8271334767</v>
      </c>
      <c r="BS39" s="30" t="s">
        <v>105</v>
      </c>
      <c r="BT39" s="31">
        <f>MAX(Phi!$J26:$J28)</f>
        <v>0.1781219748</v>
      </c>
      <c r="BU39" s="31">
        <f>MAX(Phi!$J29:$J31)</f>
        <v>0.1785714286</v>
      </c>
      <c r="BV39" s="31">
        <f>MAX(Phi!$K26:$K28)</f>
        <v>0.2323330106</v>
      </c>
      <c r="BW39" s="31">
        <f>MAX(Phi!$K29:$K31)</f>
        <v>0.242481203</v>
      </c>
      <c r="BX39" s="31">
        <f>MAX(Phi!$L26:$L28)</f>
        <v>0</v>
      </c>
      <c r="BY39" s="31">
        <f>MAX(Phi!$L29:$L31)</f>
        <v>0.8271334767</v>
      </c>
      <c r="BZ39" s="31">
        <f>MAX(Phi!$M26:$M28)</f>
        <v>0</v>
      </c>
      <c r="CA39" s="31">
        <f>MAX(Phi!$M29:$M31)</f>
        <v>0.8271334767</v>
      </c>
      <c r="CB39" s="31">
        <f>MAX(Phi!$N26:$N28)</f>
        <v>0.7693519592</v>
      </c>
      <c r="CC39" s="31">
        <f>MAX(Phi!$N29:$N31)</f>
        <v>0.8271334767</v>
      </c>
      <c r="CD39" s="31">
        <f>MAX(Phi!$O26:$O28)</f>
        <v>0.7693519592</v>
      </c>
      <c r="CE39" s="31">
        <f>MAX(Phi!$O29:$O31)</f>
        <v>0.8271334767</v>
      </c>
      <c r="CG39" s="30" t="s">
        <v>105</v>
      </c>
      <c r="CH39" s="31">
        <f>MAX(Phi!$J32:$J34)</f>
        <v>0.183600713</v>
      </c>
      <c r="CI39" s="31">
        <f>MAX(Phi!$J35:$J37)</f>
        <v>0.1873373807</v>
      </c>
      <c r="CJ39" s="31">
        <f>MAX(Phi!$K32:$K34)</f>
        <v>0.2281639929</v>
      </c>
      <c r="CK39" s="31">
        <f>MAX(Phi!$K35:$K37)</f>
        <v>0.2540983607</v>
      </c>
      <c r="CL39" s="31">
        <f>MAX(Phi!$L32:$L34)</f>
        <v>0</v>
      </c>
      <c r="CM39" s="31">
        <f>MAX(Phi!$L35:$L37)</f>
        <v>0.8271334767</v>
      </c>
      <c r="CN39" s="31">
        <f>MAX(Phi!$M32:$M34)</f>
        <v>0</v>
      </c>
      <c r="CO39" s="31">
        <f>MAX(Phi!$M35:$M37)</f>
        <v>0.8271334767</v>
      </c>
      <c r="CP39" s="31">
        <f>MAX(Phi!$N32:$N34)</f>
        <v>0.7693519592</v>
      </c>
      <c r="CQ39" s="31">
        <f>MAX(Phi!$N35:$N37)</f>
        <v>0.8271334767</v>
      </c>
      <c r="CR39" s="31">
        <f>MAX(Phi!$O32:$O34)</f>
        <v>0.7693519592</v>
      </c>
      <c r="CS39" s="31">
        <f>MAX(Phi!$O35:$O37)</f>
        <v>0.8271334767</v>
      </c>
    </row>
    <row r="40" ht="15.0" customHeight="1">
      <c r="A40" s="32" t="s">
        <v>106</v>
      </c>
      <c r="B40" s="33">
        <f t="shared" ref="B40:B44" si="43">SUM(B35, -C35)</f>
        <v>-0.01827499785</v>
      </c>
      <c r="C40" s="24"/>
      <c r="D40" s="33">
        <f t="shared" ref="D40:D44" si="44">SUM(D35, -E35)</f>
        <v>0.01952698003</v>
      </c>
      <c r="E40" s="24"/>
      <c r="F40" s="33">
        <f t="shared" ref="F40:F44" si="45">SUM(F35, -G35)</f>
        <v>0</v>
      </c>
      <c r="G40" s="24"/>
      <c r="H40" s="33">
        <f t="shared" ref="H40:H44" si="46">SUM(H35, -I35)</f>
        <v>0</v>
      </c>
      <c r="I40" s="24"/>
      <c r="J40" s="33">
        <f t="shared" ref="J40:J44" si="47">SUM(J35, -K35)</f>
        <v>0</v>
      </c>
      <c r="K40" s="24"/>
      <c r="L40" s="33">
        <f t="shared" ref="L40:L44" si="48">SUM(L35, -M35)</f>
        <v>0</v>
      </c>
      <c r="M40" s="24"/>
      <c r="O40" s="34" t="s">
        <v>106</v>
      </c>
      <c r="P40" s="35">
        <f t="shared" ref="P40:P44" si="49">SUM(P35, -Q35)</f>
        <v>-0.0258630767</v>
      </c>
      <c r="Q40" s="24"/>
      <c r="R40" s="35">
        <f t="shared" ref="R40:R44" si="50">SUM(R35, -S35)</f>
        <v>0.004255488058</v>
      </c>
      <c r="S40" s="24"/>
      <c r="T40" s="35">
        <f t="shared" ref="T40:T44" si="51">SUM(T35, -U35)</f>
        <v>0</v>
      </c>
      <c r="U40" s="24"/>
      <c r="V40" s="35">
        <f t="shared" ref="V40:V44" si="52">SUM(V35, -W35)</f>
        <v>0</v>
      </c>
      <c r="W40" s="24"/>
      <c r="X40" s="35">
        <f t="shared" ref="X40:X44" si="53">SUM(X35, -Y35)</f>
        <v>0</v>
      </c>
      <c r="Y40" s="24"/>
      <c r="Z40" s="35">
        <f t="shared" ref="Z40:Z44" si="54">SUM(Z35, -AA35)</f>
        <v>0</v>
      </c>
      <c r="AA40" s="24"/>
      <c r="AC40" s="34" t="s">
        <v>106</v>
      </c>
      <c r="AD40" s="35">
        <f t="shared" ref="AD40:AD44" si="55">SUM(AD35, -AE35)</f>
        <v>-0.02423734816</v>
      </c>
      <c r="AE40" s="24"/>
      <c r="AF40" s="35">
        <f t="shared" ref="AF40:AF44" si="56">SUM(AF35, -AG35)</f>
        <v>0.001366057313</v>
      </c>
      <c r="AG40" s="24"/>
      <c r="AH40" s="35">
        <f t="shared" ref="AH40:AH44" si="57">SUM(AH35, -AI35)</f>
        <v>0</v>
      </c>
      <c r="AI40" s="24"/>
      <c r="AJ40" s="35">
        <f t="shared" ref="AJ40:AJ44" si="58">SUM(AJ35, -AK35)</f>
        <v>0</v>
      </c>
      <c r="AK40" s="24"/>
      <c r="AL40" s="35">
        <f t="shared" ref="AL40:AL44" si="59">SUM(AL35, -AM35)</f>
        <v>0</v>
      </c>
      <c r="AM40" s="24"/>
      <c r="AN40" s="35">
        <f t="shared" ref="AN40:AN44" si="60">SUM(AN35, -AO35)</f>
        <v>0</v>
      </c>
      <c r="AO40" s="24"/>
      <c r="AQ40" s="34" t="s">
        <v>106</v>
      </c>
      <c r="AR40" s="35">
        <f t="shared" ref="AR40:AR44" si="61">SUM(AR35, -AS35)</f>
        <v>-0.02655615572</v>
      </c>
      <c r="AS40" s="24"/>
      <c r="AT40" s="35">
        <f t="shared" ref="AT40:AT44" si="62">SUM(AT35, -AU35)</f>
        <v>0.00236061816</v>
      </c>
      <c r="AU40" s="24"/>
      <c r="AV40" s="35">
        <f t="shared" ref="AV40:AV44" si="63">SUM(AV35, -AW35)</f>
        <v>0</v>
      </c>
      <c r="AW40" s="24"/>
      <c r="AX40" s="35">
        <f t="shared" ref="AX40:AX44" si="64">SUM(AX35, -AY35)</f>
        <v>0</v>
      </c>
      <c r="AY40" s="24"/>
      <c r="AZ40" s="35">
        <f t="shared" ref="AZ40:AZ44" si="65">SUM(AZ35, -BA35)</f>
        <v>0</v>
      </c>
      <c r="BA40" s="24"/>
      <c r="BB40" s="35">
        <f t="shared" ref="BB40:BB44" si="66">SUM(BB35, -BC35)</f>
        <v>0</v>
      </c>
      <c r="BC40" s="24"/>
      <c r="BE40" s="34" t="s">
        <v>106</v>
      </c>
      <c r="BF40" s="35">
        <f t="shared" ref="BF40:BF44" si="67">SUM(BF35, -BG35)</f>
        <v>-0.02040654099</v>
      </c>
      <c r="BG40" s="24"/>
      <c r="BH40" s="35">
        <f t="shared" ref="BH40:BH44" si="68">SUM(BH35, -BI35)</f>
        <v>-0.0042414263</v>
      </c>
      <c r="BI40" s="24"/>
      <c r="BJ40" s="35">
        <f t="shared" ref="BJ40:BJ44" si="69">SUM(BJ35, -BK35)</f>
        <v>0</v>
      </c>
      <c r="BK40" s="24"/>
      <c r="BL40" s="35">
        <f t="shared" ref="BL40:BL44" si="70">SUM(BL35, -BM35)</f>
        <v>0</v>
      </c>
      <c r="BM40" s="24"/>
      <c r="BN40" s="35">
        <f t="shared" ref="BN40:BN44" si="71">SUM(BN35, -BO35)</f>
        <v>0</v>
      </c>
      <c r="BO40" s="24"/>
      <c r="BP40" s="35">
        <f t="shared" ref="BP40:BP44" si="72">SUM(BP35, -BQ35)</f>
        <v>0</v>
      </c>
      <c r="BQ40" s="24"/>
      <c r="BS40" s="34" t="s">
        <v>106</v>
      </c>
      <c r="BT40" s="35">
        <f t="shared" ref="BT40:BT44" si="73">SUM(BT35, -BU35)</f>
        <v>-0.02541962489</v>
      </c>
      <c r="BU40" s="24"/>
      <c r="BV40" s="35">
        <f t="shared" ref="BV40:BV44" si="74">SUM(BV35, -BW35)</f>
        <v>0.004353481458</v>
      </c>
      <c r="BW40" s="24"/>
      <c r="BX40" s="35">
        <f t="shared" ref="BX40:BX44" si="75">SUM(BX35, -BY35)</f>
        <v>0</v>
      </c>
      <c r="BY40" s="24"/>
      <c r="BZ40" s="35">
        <f t="shared" ref="BZ40:BZ44" si="76">SUM(BZ35, -CA35)</f>
        <v>0</v>
      </c>
      <c r="CA40" s="24"/>
      <c r="CB40" s="35">
        <f t="shared" ref="CB40:CB44" si="77">SUM(CB35, -CC35)</f>
        <v>0</v>
      </c>
      <c r="CC40" s="24"/>
      <c r="CD40" s="35">
        <f t="shared" ref="CD40:CD44" si="78">SUM(CD35, -CE35)</f>
        <v>0</v>
      </c>
      <c r="CE40" s="24"/>
      <c r="CG40" s="34" t="s">
        <v>106</v>
      </c>
      <c r="CH40" s="35">
        <f t="shared" ref="CH40:CH44" si="79">SUM(CH35, -CI35)</f>
        <v>-0.01370696874</v>
      </c>
      <c r="CI40" s="24"/>
      <c r="CJ40" s="35">
        <f t="shared" ref="CJ40:CJ44" si="80">SUM(CJ35, -CK35)</f>
        <v>0.02293395917</v>
      </c>
      <c r="CK40" s="24"/>
      <c r="CL40" s="35">
        <f t="shared" ref="CL40:CL44" si="81">SUM(CL35, -CM35)</f>
        <v>0</v>
      </c>
      <c r="CM40" s="24"/>
      <c r="CN40" s="35">
        <f t="shared" ref="CN40:CN44" si="82">SUM(CN35, -CO35)</f>
        <v>0</v>
      </c>
      <c r="CO40" s="24"/>
      <c r="CP40" s="35">
        <f t="shared" ref="CP40:CP44" si="83">SUM(CP35, -CQ35)</f>
        <v>0</v>
      </c>
      <c r="CQ40" s="24"/>
      <c r="CR40" s="35">
        <f t="shared" ref="CR40:CR44" si="84">SUM(CR35, -CS35)</f>
        <v>0</v>
      </c>
      <c r="CS40" s="24"/>
    </row>
    <row r="41" ht="15.75" customHeight="1">
      <c r="A41" s="36"/>
      <c r="B41" s="33">
        <f t="shared" si="43"/>
        <v>-0.02616795696</v>
      </c>
      <c r="C41" s="24"/>
      <c r="D41" s="33">
        <f t="shared" si="44"/>
        <v>-0.02713508074</v>
      </c>
      <c r="E41" s="24"/>
      <c r="F41" s="33">
        <f t="shared" si="45"/>
        <v>-0.1248195767</v>
      </c>
      <c r="G41" s="24"/>
      <c r="H41" s="33">
        <f t="shared" si="46"/>
        <v>-0.2976861</v>
      </c>
      <c r="I41" s="24"/>
      <c r="J41" s="33">
        <f t="shared" si="47"/>
        <v>0</v>
      </c>
      <c r="K41" s="24"/>
      <c r="L41" s="33">
        <f t="shared" si="48"/>
        <v>-0.00000005960464478</v>
      </c>
      <c r="M41" s="24"/>
      <c r="O41" s="36"/>
      <c r="P41" s="35">
        <f t="shared" si="49"/>
        <v>0.01372561338</v>
      </c>
      <c r="Q41" s="24"/>
      <c r="R41" s="35">
        <f t="shared" si="50"/>
        <v>0.04194342184</v>
      </c>
      <c r="S41" s="24"/>
      <c r="T41" s="35">
        <f t="shared" si="51"/>
        <v>0.7023139</v>
      </c>
      <c r="U41" s="24"/>
      <c r="V41" s="35">
        <f t="shared" si="52"/>
        <v>0.6929934025</v>
      </c>
      <c r="W41" s="24"/>
      <c r="X41" s="35">
        <f t="shared" si="53"/>
        <v>0.1722419262</v>
      </c>
      <c r="Y41" s="24"/>
      <c r="Z41" s="35">
        <f t="shared" si="54"/>
        <v>-0.019307971</v>
      </c>
      <c r="AA41" s="24"/>
      <c r="AC41" s="36"/>
      <c r="AD41" s="35">
        <f t="shared" si="55"/>
        <v>0.01611826419</v>
      </c>
      <c r="AE41" s="24"/>
      <c r="AF41" s="35">
        <f t="shared" si="56"/>
        <v>0.02878582957</v>
      </c>
      <c r="AG41" s="24"/>
      <c r="AH41" s="35">
        <f t="shared" si="57"/>
        <v>0.7023139</v>
      </c>
      <c r="AI41" s="24"/>
      <c r="AJ41" s="35">
        <f t="shared" si="58"/>
        <v>0.6429824233</v>
      </c>
      <c r="AK41" s="24"/>
      <c r="AL41" s="35">
        <f t="shared" si="59"/>
        <v>0.1722419262</v>
      </c>
      <c r="AM41" s="24"/>
      <c r="AN41" s="35">
        <f t="shared" si="60"/>
        <v>0.07578158379</v>
      </c>
      <c r="AO41" s="24"/>
      <c r="AQ41" s="36"/>
      <c r="AR41" s="35">
        <f t="shared" si="61"/>
        <v>0.02281005686</v>
      </c>
      <c r="AS41" s="24"/>
      <c r="AT41" s="35">
        <f t="shared" si="62"/>
        <v>0.01217128643</v>
      </c>
      <c r="AU41" s="24"/>
      <c r="AV41" s="35">
        <f t="shared" si="63"/>
        <v>0.7023139</v>
      </c>
      <c r="AW41" s="24"/>
      <c r="AX41" s="35">
        <f t="shared" si="64"/>
        <v>0.7023139</v>
      </c>
      <c r="AY41" s="24"/>
      <c r="AZ41" s="35">
        <f t="shared" si="65"/>
        <v>0.1722419262</v>
      </c>
      <c r="BA41" s="24"/>
      <c r="BB41" s="35">
        <f t="shared" si="66"/>
        <v>0.1722419262</v>
      </c>
      <c r="BC41" s="24"/>
      <c r="BE41" s="36"/>
      <c r="BF41" s="35">
        <f t="shared" si="67"/>
        <v>0.00303925707</v>
      </c>
      <c r="BG41" s="24"/>
      <c r="BH41" s="35">
        <f t="shared" si="68"/>
        <v>0.03948126298</v>
      </c>
      <c r="BI41" s="24"/>
      <c r="BJ41" s="35">
        <f t="shared" si="69"/>
        <v>0.7023139</v>
      </c>
      <c r="BK41" s="24"/>
      <c r="BL41" s="35">
        <f t="shared" si="70"/>
        <v>0.7023139</v>
      </c>
      <c r="BM41" s="24"/>
      <c r="BN41" s="35">
        <f t="shared" si="71"/>
        <v>0.1722419262</v>
      </c>
      <c r="BO41" s="24"/>
      <c r="BP41" s="35">
        <f t="shared" si="72"/>
        <v>0.1722419262</v>
      </c>
      <c r="BQ41" s="24"/>
      <c r="BS41" s="36"/>
      <c r="BT41" s="35">
        <f t="shared" si="73"/>
        <v>0.002866281365</v>
      </c>
      <c r="BU41" s="24"/>
      <c r="BV41" s="35">
        <f t="shared" si="74"/>
        <v>0.02510988779</v>
      </c>
      <c r="BW41" s="24"/>
      <c r="BX41" s="35">
        <f t="shared" si="75"/>
        <v>0.7023139</v>
      </c>
      <c r="BY41" s="24"/>
      <c r="BZ41" s="35">
        <f t="shared" si="76"/>
        <v>0.7023139</v>
      </c>
      <c r="CA41" s="24"/>
      <c r="CB41" s="35">
        <f t="shared" si="77"/>
        <v>0.1722419262</v>
      </c>
      <c r="CC41" s="24"/>
      <c r="CD41" s="35">
        <f t="shared" si="78"/>
        <v>0.1722419262</v>
      </c>
      <c r="CE41" s="24"/>
      <c r="CG41" s="36"/>
      <c r="CH41" s="35">
        <f t="shared" si="79"/>
        <v>-0.006520311474</v>
      </c>
      <c r="CI41" s="24"/>
      <c r="CJ41" s="35">
        <f t="shared" si="80"/>
        <v>0.01335200747</v>
      </c>
      <c r="CK41" s="24"/>
      <c r="CL41" s="35">
        <f t="shared" si="81"/>
        <v>0.7023139</v>
      </c>
      <c r="CM41" s="24"/>
      <c r="CN41" s="35">
        <f t="shared" si="82"/>
        <v>0.7023139</v>
      </c>
      <c r="CO41" s="24"/>
      <c r="CP41" s="35">
        <f t="shared" si="83"/>
        <v>0.1722419262</v>
      </c>
      <c r="CQ41" s="24"/>
      <c r="CR41" s="35">
        <f t="shared" si="84"/>
        <v>0.1722419262</v>
      </c>
      <c r="CS41" s="24"/>
    </row>
    <row r="42" ht="15.75" customHeight="1">
      <c r="A42" s="36"/>
      <c r="B42" s="33">
        <f t="shared" si="43"/>
        <v>0.008184814714</v>
      </c>
      <c r="C42" s="24"/>
      <c r="D42" s="33">
        <f t="shared" si="44"/>
        <v>0.01932167634</v>
      </c>
      <c r="E42" s="24"/>
      <c r="F42" s="33">
        <f t="shared" si="45"/>
        <v>0</v>
      </c>
      <c r="G42" s="24"/>
      <c r="H42" s="33">
        <f t="shared" si="46"/>
        <v>0</v>
      </c>
      <c r="I42" s="24"/>
      <c r="J42" s="33">
        <f t="shared" si="47"/>
        <v>0</v>
      </c>
      <c r="K42" s="24"/>
      <c r="L42" s="33">
        <f t="shared" si="48"/>
        <v>0</v>
      </c>
      <c r="M42" s="24"/>
      <c r="O42" s="36"/>
      <c r="P42" s="35">
        <f t="shared" si="49"/>
        <v>-0.0004708729329</v>
      </c>
      <c r="Q42" s="24"/>
      <c r="R42" s="35">
        <f t="shared" si="50"/>
        <v>0.0205896048</v>
      </c>
      <c r="S42" s="24"/>
      <c r="T42" s="35">
        <f t="shared" si="51"/>
        <v>0</v>
      </c>
      <c r="U42" s="24"/>
      <c r="V42" s="35">
        <f t="shared" si="52"/>
        <v>0</v>
      </c>
      <c r="W42" s="24"/>
      <c r="X42" s="35">
        <f t="shared" si="53"/>
        <v>0</v>
      </c>
      <c r="Y42" s="24"/>
      <c r="Z42" s="35">
        <f t="shared" si="54"/>
        <v>0</v>
      </c>
      <c r="AA42" s="24"/>
      <c r="AC42" s="36"/>
      <c r="AD42" s="35">
        <f t="shared" si="55"/>
        <v>-0.01647030124</v>
      </c>
      <c r="AE42" s="24"/>
      <c r="AF42" s="35">
        <f t="shared" si="56"/>
        <v>0.01347736869</v>
      </c>
      <c r="AG42" s="24"/>
      <c r="AH42" s="35">
        <f t="shared" si="57"/>
        <v>0</v>
      </c>
      <c r="AI42" s="24"/>
      <c r="AJ42" s="35">
        <f t="shared" si="58"/>
        <v>0</v>
      </c>
      <c r="AK42" s="24"/>
      <c r="AL42" s="35">
        <f t="shared" si="59"/>
        <v>0</v>
      </c>
      <c r="AM42" s="24"/>
      <c r="AN42" s="35">
        <f t="shared" si="60"/>
        <v>0</v>
      </c>
      <c r="AO42" s="24"/>
      <c r="AQ42" s="36"/>
      <c r="AR42" s="35">
        <f t="shared" si="61"/>
        <v>0.008184814714</v>
      </c>
      <c r="AS42" s="24"/>
      <c r="AT42" s="35">
        <f t="shared" si="62"/>
        <v>0.03700517592</v>
      </c>
      <c r="AU42" s="24"/>
      <c r="AV42" s="35">
        <f t="shared" si="63"/>
        <v>0</v>
      </c>
      <c r="AW42" s="24"/>
      <c r="AX42" s="35">
        <f t="shared" si="64"/>
        <v>0</v>
      </c>
      <c r="AY42" s="24"/>
      <c r="AZ42" s="35">
        <f t="shared" si="65"/>
        <v>0</v>
      </c>
      <c r="BA42" s="24"/>
      <c r="BB42" s="35">
        <f t="shared" si="66"/>
        <v>0</v>
      </c>
      <c r="BC42" s="24"/>
      <c r="BE42" s="36"/>
      <c r="BF42" s="35">
        <f t="shared" si="67"/>
        <v>-0.0007032015423</v>
      </c>
      <c r="BG42" s="24"/>
      <c r="BH42" s="35">
        <f t="shared" si="68"/>
        <v>0.001998789466</v>
      </c>
      <c r="BI42" s="24"/>
      <c r="BJ42" s="35">
        <f t="shared" si="69"/>
        <v>0</v>
      </c>
      <c r="BK42" s="24"/>
      <c r="BL42" s="35">
        <f t="shared" si="70"/>
        <v>0</v>
      </c>
      <c r="BM42" s="24"/>
      <c r="BN42" s="35">
        <f t="shared" si="71"/>
        <v>0</v>
      </c>
      <c r="BO42" s="24"/>
      <c r="BP42" s="35">
        <f t="shared" si="72"/>
        <v>0</v>
      </c>
      <c r="BQ42" s="24"/>
      <c r="BS42" s="36"/>
      <c r="BT42" s="35">
        <f t="shared" si="73"/>
        <v>-0.002397340106</v>
      </c>
      <c r="BU42" s="24"/>
      <c r="BV42" s="35">
        <f t="shared" si="74"/>
        <v>0.005682872849</v>
      </c>
      <c r="BW42" s="24"/>
      <c r="BX42" s="35">
        <f t="shared" si="75"/>
        <v>0</v>
      </c>
      <c r="BY42" s="24"/>
      <c r="BZ42" s="35">
        <f t="shared" si="76"/>
        <v>0</v>
      </c>
      <c r="CA42" s="24"/>
      <c r="CB42" s="35">
        <f t="shared" si="77"/>
        <v>0</v>
      </c>
      <c r="CC42" s="24"/>
      <c r="CD42" s="35">
        <f t="shared" si="78"/>
        <v>0</v>
      </c>
      <c r="CE42" s="24"/>
      <c r="CG42" s="36"/>
      <c r="CH42" s="35">
        <f t="shared" si="79"/>
        <v>0.01270238428</v>
      </c>
      <c r="CI42" s="24"/>
      <c r="CJ42" s="35">
        <f t="shared" si="80"/>
        <v>0.01932167634</v>
      </c>
      <c r="CK42" s="24"/>
      <c r="CL42" s="35">
        <f t="shared" si="81"/>
        <v>0</v>
      </c>
      <c r="CM42" s="24"/>
      <c r="CN42" s="35">
        <f t="shared" si="82"/>
        <v>0</v>
      </c>
      <c r="CO42" s="24"/>
      <c r="CP42" s="35">
        <f t="shared" si="83"/>
        <v>0</v>
      </c>
      <c r="CQ42" s="24"/>
      <c r="CR42" s="35">
        <f t="shared" si="84"/>
        <v>0</v>
      </c>
      <c r="CS42" s="24"/>
    </row>
    <row r="43" ht="15.75" customHeight="1">
      <c r="A43" s="36"/>
      <c r="B43" s="33">
        <f t="shared" si="43"/>
        <v>-0.01049373526</v>
      </c>
      <c r="C43" s="24"/>
      <c r="D43" s="33">
        <f t="shared" si="44"/>
        <v>-0.004548894378</v>
      </c>
      <c r="E43" s="24"/>
      <c r="F43" s="33">
        <f t="shared" si="45"/>
        <v>0</v>
      </c>
      <c r="G43" s="24"/>
      <c r="H43" s="33">
        <f t="shared" si="46"/>
        <v>0</v>
      </c>
      <c r="I43" s="24"/>
      <c r="J43" s="33">
        <f t="shared" si="47"/>
        <v>0</v>
      </c>
      <c r="K43" s="24"/>
      <c r="L43" s="33">
        <f t="shared" si="48"/>
        <v>0</v>
      </c>
      <c r="M43" s="24"/>
      <c r="O43" s="36"/>
      <c r="P43" s="35">
        <f t="shared" si="49"/>
        <v>-0.0124120945</v>
      </c>
      <c r="Q43" s="24"/>
      <c r="R43" s="35">
        <f t="shared" si="50"/>
        <v>-0.01632030426</v>
      </c>
      <c r="S43" s="24"/>
      <c r="T43" s="35">
        <f t="shared" si="51"/>
        <v>0</v>
      </c>
      <c r="U43" s="24"/>
      <c r="V43" s="35">
        <f t="shared" si="52"/>
        <v>0</v>
      </c>
      <c r="W43" s="24"/>
      <c r="X43" s="35">
        <f t="shared" si="53"/>
        <v>0</v>
      </c>
      <c r="Y43" s="24"/>
      <c r="Z43" s="35">
        <f t="shared" si="54"/>
        <v>0</v>
      </c>
      <c r="AA43" s="24"/>
      <c r="AC43" s="36"/>
      <c r="AD43" s="35">
        <f t="shared" si="55"/>
        <v>0.001971359494</v>
      </c>
      <c r="AE43" s="24"/>
      <c r="AF43" s="35">
        <f t="shared" si="56"/>
        <v>-0.01418571682</v>
      </c>
      <c r="AG43" s="24"/>
      <c r="AH43" s="35">
        <f t="shared" si="57"/>
        <v>0</v>
      </c>
      <c r="AI43" s="24"/>
      <c r="AJ43" s="35">
        <f t="shared" si="58"/>
        <v>0</v>
      </c>
      <c r="AK43" s="24"/>
      <c r="AL43" s="35">
        <f t="shared" si="59"/>
        <v>0</v>
      </c>
      <c r="AM43" s="24"/>
      <c r="AN43" s="35">
        <f t="shared" si="60"/>
        <v>0</v>
      </c>
      <c r="AO43" s="24"/>
      <c r="AQ43" s="36"/>
      <c r="AR43" s="35">
        <f t="shared" si="61"/>
        <v>-0.01326408135</v>
      </c>
      <c r="AS43" s="24"/>
      <c r="AT43" s="35">
        <f t="shared" si="62"/>
        <v>-0.01568744593</v>
      </c>
      <c r="AU43" s="24"/>
      <c r="AV43" s="35">
        <f t="shared" si="63"/>
        <v>0</v>
      </c>
      <c r="AW43" s="24"/>
      <c r="AX43" s="35">
        <f t="shared" si="64"/>
        <v>0</v>
      </c>
      <c r="AY43" s="24"/>
      <c r="AZ43" s="35">
        <f t="shared" si="65"/>
        <v>0</v>
      </c>
      <c r="BA43" s="24"/>
      <c r="BB43" s="35">
        <f t="shared" si="66"/>
        <v>0</v>
      </c>
      <c r="BC43" s="24"/>
      <c r="BE43" s="36"/>
      <c r="BF43" s="35">
        <f t="shared" si="67"/>
        <v>0.001893400847</v>
      </c>
      <c r="BG43" s="24"/>
      <c r="BH43" s="35">
        <f t="shared" si="68"/>
        <v>0.01739462105</v>
      </c>
      <c r="BI43" s="24"/>
      <c r="BJ43" s="35">
        <f t="shared" si="69"/>
        <v>0</v>
      </c>
      <c r="BK43" s="24"/>
      <c r="BL43" s="35">
        <f t="shared" si="70"/>
        <v>0</v>
      </c>
      <c r="BM43" s="24"/>
      <c r="BN43" s="35">
        <f t="shared" si="71"/>
        <v>0</v>
      </c>
      <c r="BO43" s="24"/>
      <c r="BP43" s="35">
        <f t="shared" si="72"/>
        <v>0</v>
      </c>
      <c r="BQ43" s="24"/>
      <c r="BS43" s="36"/>
      <c r="BT43" s="35">
        <f t="shared" si="73"/>
        <v>-0.008025014761</v>
      </c>
      <c r="BU43" s="24"/>
      <c r="BV43" s="35">
        <f t="shared" si="74"/>
        <v>-0.004548894378</v>
      </c>
      <c r="BW43" s="24"/>
      <c r="BX43" s="35">
        <f t="shared" si="75"/>
        <v>0</v>
      </c>
      <c r="BY43" s="24"/>
      <c r="BZ43" s="35">
        <f t="shared" si="76"/>
        <v>0</v>
      </c>
      <c r="CA43" s="24"/>
      <c r="CB43" s="35">
        <f t="shared" si="77"/>
        <v>0</v>
      </c>
      <c r="CC43" s="24"/>
      <c r="CD43" s="35">
        <f t="shared" si="78"/>
        <v>0</v>
      </c>
      <c r="CE43" s="24"/>
      <c r="CG43" s="36"/>
      <c r="CH43" s="35">
        <f t="shared" si="79"/>
        <v>-0.003869885053</v>
      </c>
      <c r="CI43" s="24"/>
      <c r="CJ43" s="35">
        <f t="shared" si="80"/>
        <v>-0.004583267528</v>
      </c>
      <c r="CK43" s="24"/>
      <c r="CL43" s="35">
        <f t="shared" si="81"/>
        <v>0</v>
      </c>
      <c r="CM43" s="24"/>
      <c r="CN43" s="35">
        <f t="shared" si="82"/>
        <v>0</v>
      </c>
      <c r="CO43" s="24"/>
      <c r="CP43" s="35">
        <f t="shared" si="83"/>
        <v>0</v>
      </c>
      <c r="CQ43" s="24"/>
      <c r="CR43" s="35">
        <f t="shared" si="84"/>
        <v>0</v>
      </c>
      <c r="CS43" s="24"/>
    </row>
    <row r="44" ht="15.75" customHeight="1">
      <c r="A44" s="37"/>
      <c r="B44" s="33">
        <f t="shared" si="43"/>
        <v>-0.003736667733</v>
      </c>
      <c r="C44" s="24"/>
      <c r="D44" s="33">
        <f t="shared" si="44"/>
        <v>-0.02176535001</v>
      </c>
      <c r="E44" s="24"/>
      <c r="F44" s="33">
        <f t="shared" si="45"/>
        <v>-0.8271334767</v>
      </c>
      <c r="G44" s="24"/>
      <c r="H44" s="33">
        <f t="shared" si="46"/>
        <v>-1</v>
      </c>
      <c r="I44" s="24"/>
      <c r="J44" s="33">
        <f t="shared" si="47"/>
        <v>-0.05778151751</v>
      </c>
      <c r="K44" s="24"/>
      <c r="L44" s="33">
        <f t="shared" si="48"/>
        <v>-0.1846734285</v>
      </c>
      <c r="M44" s="24"/>
      <c r="O44" s="37"/>
      <c r="P44" s="35">
        <f t="shared" si="49"/>
        <v>-0.01288325371</v>
      </c>
      <c r="Q44" s="24"/>
      <c r="R44" s="35">
        <f t="shared" si="50"/>
        <v>-0.02088412027</v>
      </c>
      <c r="S44" s="24"/>
      <c r="T44" s="35">
        <f t="shared" si="51"/>
        <v>-0.8271334767</v>
      </c>
      <c r="U44" s="24"/>
      <c r="V44" s="35">
        <f t="shared" si="52"/>
        <v>-1</v>
      </c>
      <c r="W44" s="24"/>
      <c r="X44" s="35">
        <f t="shared" si="53"/>
        <v>-0.05778151751</v>
      </c>
      <c r="Y44" s="24"/>
      <c r="Z44" s="35">
        <f t="shared" si="54"/>
        <v>-0.1846734285</v>
      </c>
      <c r="AA44" s="24"/>
      <c r="AC44" s="37"/>
      <c r="AD44" s="35">
        <f t="shared" si="55"/>
        <v>0.002338534174</v>
      </c>
      <c r="AE44" s="24"/>
      <c r="AF44" s="35">
        <f t="shared" si="56"/>
        <v>-0.01596991612</v>
      </c>
      <c r="AG44" s="24"/>
      <c r="AH44" s="35">
        <f t="shared" si="57"/>
        <v>-0.8271334767</v>
      </c>
      <c r="AI44" s="24"/>
      <c r="AJ44" s="35">
        <f t="shared" si="58"/>
        <v>-0.6429824233</v>
      </c>
      <c r="AK44" s="24"/>
      <c r="AL44" s="35">
        <f t="shared" si="59"/>
        <v>-0.05778151751</v>
      </c>
      <c r="AM44" s="24"/>
      <c r="AN44" s="35">
        <f t="shared" si="60"/>
        <v>-0.1554875374</v>
      </c>
      <c r="AO44" s="24"/>
      <c r="AQ44" s="37"/>
      <c r="AR44" s="35">
        <f t="shared" si="61"/>
        <v>-0.01309243257</v>
      </c>
      <c r="AS44" s="24"/>
      <c r="AT44" s="35">
        <f t="shared" si="62"/>
        <v>-0.004647010347</v>
      </c>
      <c r="AU44" s="24"/>
      <c r="AV44" s="35">
        <f t="shared" si="63"/>
        <v>-0.8271334767</v>
      </c>
      <c r="AW44" s="24"/>
      <c r="AX44" s="35">
        <f t="shared" si="64"/>
        <v>-0.8271334767</v>
      </c>
      <c r="AY44" s="24"/>
      <c r="AZ44" s="35">
        <f t="shared" si="65"/>
        <v>-0.05778151751</v>
      </c>
      <c r="BA44" s="24"/>
      <c r="BB44" s="35">
        <f t="shared" si="66"/>
        <v>-0.05778151751</v>
      </c>
      <c r="BC44" s="24"/>
      <c r="BE44" s="37"/>
      <c r="BF44" s="35">
        <f t="shared" si="67"/>
        <v>-0.006069357641</v>
      </c>
      <c r="BG44" s="24"/>
      <c r="BH44" s="35">
        <f t="shared" si="68"/>
        <v>-0.03374246971</v>
      </c>
      <c r="BI44" s="24"/>
      <c r="BJ44" s="35">
        <f t="shared" si="69"/>
        <v>-0.8271334767</v>
      </c>
      <c r="BK44" s="24"/>
      <c r="BL44" s="35">
        <f t="shared" si="70"/>
        <v>-0.8271334767</v>
      </c>
      <c r="BM44" s="24"/>
      <c r="BN44" s="35">
        <f t="shared" si="71"/>
        <v>-0.05778151751</v>
      </c>
      <c r="BO44" s="24"/>
      <c r="BP44" s="35">
        <f t="shared" si="72"/>
        <v>-0.05778151751</v>
      </c>
      <c r="BQ44" s="24"/>
      <c r="BS44" s="37"/>
      <c r="BT44" s="35">
        <f t="shared" si="73"/>
        <v>-0.0004494537408</v>
      </c>
      <c r="BU44" s="24"/>
      <c r="BV44" s="35">
        <f t="shared" si="74"/>
        <v>-0.01014819236</v>
      </c>
      <c r="BW44" s="24"/>
      <c r="BX44" s="35">
        <f t="shared" si="75"/>
        <v>-0.8271334767</v>
      </c>
      <c r="BY44" s="24"/>
      <c r="BZ44" s="35">
        <f t="shared" si="76"/>
        <v>-0.8271334767</v>
      </c>
      <c r="CA44" s="24"/>
      <c r="CB44" s="35">
        <f t="shared" si="77"/>
        <v>-0.05778151751</v>
      </c>
      <c r="CC44" s="24"/>
      <c r="CD44" s="35">
        <f t="shared" si="78"/>
        <v>-0.05778151751</v>
      </c>
      <c r="CE44" s="24"/>
      <c r="CG44" s="37"/>
      <c r="CH44" s="35">
        <f t="shared" si="79"/>
        <v>-0.003736667733</v>
      </c>
      <c r="CI44" s="24"/>
      <c r="CJ44" s="35">
        <f t="shared" si="80"/>
        <v>-0.02593436779</v>
      </c>
      <c r="CK44" s="24"/>
      <c r="CL44" s="35">
        <f t="shared" si="81"/>
        <v>-0.8271334767</v>
      </c>
      <c r="CM44" s="24"/>
      <c r="CN44" s="35">
        <f t="shared" si="82"/>
        <v>-0.8271334767</v>
      </c>
      <c r="CO44" s="24"/>
      <c r="CP44" s="35">
        <f t="shared" si="83"/>
        <v>-0.05778151751</v>
      </c>
      <c r="CQ44" s="24"/>
      <c r="CR44" s="35">
        <f t="shared" si="84"/>
        <v>-0.05778151751</v>
      </c>
      <c r="CS44" s="24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 ht="15.75" customHeight="1">
      <c r="A47" s="22"/>
      <c r="B47" s="26" t="s">
        <v>3</v>
      </c>
      <c r="C47" s="26" t="s">
        <v>4</v>
      </c>
      <c r="D47" s="26" t="s">
        <v>5</v>
      </c>
      <c r="E47" s="26" t="s">
        <v>6</v>
      </c>
      <c r="F47" s="26" t="s">
        <v>7</v>
      </c>
      <c r="G47" s="26" t="s">
        <v>8</v>
      </c>
      <c r="H47" s="26" t="s">
        <v>9</v>
      </c>
      <c r="I47" s="26" t="s">
        <v>10</v>
      </c>
      <c r="J47" s="26" t="s">
        <v>11</v>
      </c>
      <c r="K47" s="26" t="s">
        <v>12</v>
      </c>
      <c r="L47" s="26" t="s">
        <v>13</v>
      </c>
      <c r="M47" s="26" t="s">
        <v>14</v>
      </c>
      <c r="P47" s="27" t="s">
        <v>3</v>
      </c>
      <c r="Q47" s="27" t="s">
        <v>4</v>
      </c>
      <c r="R47" s="27" t="s">
        <v>5</v>
      </c>
      <c r="S47" s="27" t="s">
        <v>6</v>
      </c>
      <c r="T47" s="27" t="s">
        <v>7</v>
      </c>
      <c r="U47" s="27" t="s">
        <v>8</v>
      </c>
      <c r="V47" s="27" t="s">
        <v>9</v>
      </c>
      <c r="W47" s="27" t="s">
        <v>10</v>
      </c>
      <c r="X47" s="27" t="s">
        <v>11</v>
      </c>
      <c r="Y47" s="27" t="s">
        <v>12</v>
      </c>
      <c r="Z47" s="27" t="s">
        <v>13</v>
      </c>
      <c r="AA47" s="27" t="s">
        <v>14</v>
      </c>
      <c r="AD47" s="27" t="s">
        <v>3</v>
      </c>
      <c r="AE47" s="27" t="s">
        <v>4</v>
      </c>
      <c r="AF47" s="27" t="s">
        <v>5</v>
      </c>
      <c r="AG47" s="27" t="s">
        <v>6</v>
      </c>
      <c r="AH47" s="27" t="s">
        <v>7</v>
      </c>
      <c r="AI47" s="27" t="s">
        <v>8</v>
      </c>
      <c r="AJ47" s="27" t="s">
        <v>9</v>
      </c>
      <c r="AK47" s="27" t="s">
        <v>10</v>
      </c>
      <c r="AL47" s="27" t="s">
        <v>11</v>
      </c>
      <c r="AM47" s="27" t="s">
        <v>12</v>
      </c>
      <c r="AN47" s="27" t="s">
        <v>13</v>
      </c>
      <c r="AO47" s="27" t="s">
        <v>14</v>
      </c>
      <c r="AR47" s="27" t="s">
        <v>3</v>
      </c>
      <c r="AS47" s="27" t="s">
        <v>4</v>
      </c>
      <c r="AT47" s="27" t="s">
        <v>5</v>
      </c>
      <c r="AU47" s="27" t="s">
        <v>6</v>
      </c>
      <c r="AV47" s="27" t="s">
        <v>7</v>
      </c>
      <c r="AW47" s="27" t="s">
        <v>8</v>
      </c>
      <c r="AX47" s="27" t="s">
        <v>9</v>
      </c>
      <c r="AY47" s="27" t="s">
        <v>10</v>
      </c>
      <c r="AZ47" s="27" t="s">
        <v>11</v>
      </c>
      <c r="BA47" s="27" t="s">
        <v>12</v>
      </c>
      <c r="BB47" s="27" t="s">
        <v>13</v>
      </c>
      <c r="BC47" s="27" t="s">
        <v>14</v>
      </c>
      <c r="BF47" s="27" t="s">
        <v>3</v>
      </c>
      <c r="BG47" s="27" t="s">
        <v>4</v>
      </c>
      <c r="BH47" s="27" t="s">
        <v>5</v>
      </c>
      <c r="BI47" s="27" t="s">
        <v>6</v>
      </c>
      <c r="BJ47" s="27" t="s">
        <v>7</v>
      </c>
      <c r="BK47" s="27" t="s">
        <v>8</v>
      </c>
      <c r="BL47" s="27" t="s">
        <v>9</v>
      </c>
      <c r="BM47" s="27" t="s">
        <v>10</v>
      </c>
      <c r="BN47" s="27" t="s">
        <v>11</v>
      </c>
      <c r="BO47" s="27" t="s">
        <v>12</v>
      </c>
      <c r="BP47" s="27" t="s">
        <v>13</v>
      </c>
      <c r="BQ47" s="27" t="s">
        <v>14</v>
      </c>
      <c r="BT47" s="27" t="s">
        <v>3</v>
      </c>
      <c r="BU47" s="27" t="s">
        <v>4</v>
      </c>
      <c r="BV47" s="27" t="s">
        <v>5</v>
      </c>
      <c r="BW47" s="27" t="s">
        <v>6</v>
      </c>
      <c r="BX47" s="27" t="s">
        <v>7</v>
      </c>
      <c r="BY47" s="27" t="s">
        <v>8</v>
      </c>
      <c r="BZ47" s="27" t="s">
        <v>9</v>
      </c>
      <c r="CA47" s="27" t="s">
        <v>10</v>
      </c>
      <c r="CB47" s="27" t="s">
        <v>11</v>
      </c>
      <c r="CC47" s="27" t="s">
        <v>12</v>
      </c>
      <c r="CD47" s="27" t="s">
        <v>13</v>
      </c>
      <c r="CE47" s="27" t="s">
        <v>14</v>
      </c>
      <c r="CH47" s="27" t="s">
        <v>3</v>
      </c>
      <c r="CI47" s="27" t="s">
        <v>4</v>
      </c>
      <c r="CJ47" s="27" t="s">
        <v>5</v>
      </c>
      <c r="CK47" s="27" t="s">
        <v>6</v>
      </c>
      <c r="CL47" s="27" t="s">
        <v>7</v>
      </c>
      <c r="CM47" s="27" t="s">
        <v>8</v>
      </c>
      <c r="CN47" s="27" t="s">
        <v>9</v>
      </c>
      <c r="CO47" s="27" t="s">
        <v>10</v>
      </c>
      <c r="CP47" s="27" t="s">
        <v>11</v>
      </c>
      <c r="CQ47" s="27" t="s">
        <v>12</v>
      </c>
      <c r="CR47" s="27" t="s">
        <v>13</v>
      </c>
      <c r="CS47" s="27" t="s">
        <v>14</v>
      </c>
    </row>
    <row r="48" ht="15.75" customHeight="1">
      <c r="A48" s="28" t="s">
        <v>107</v>
      </c>
      <c r="B48" s="29">
        <f>MAX(Command!D:D)</f>
        <v>0.08968896311</v>
      </c>
      <c r="C48" s="29">
        <f>MAX(Command!E:E)</f>
        <v>0.7519648075</v>
      </c>
      <c r="D48" s="29">
        <f>MAX(Command!F:F)</f>
        <v>0.7439956665</v>
      </c>
      <c r="E48" s="29">
        <f>MAX(Command!G:G)</f>
        <v>0.7473167777</v>
      </c>
      <c r="F48" s="29">
        <f>MAX(Command!H:H)</f>
        <v>0.5375240539</v>
      </c>
      <c r="G48" s="29">
        <f>MAX(Command!I:I)</f>
        <v>0.1759794477</v>
      </c>
      <c r="H48" s="29">
        <f>MAX(Command!J:J)</f>
        <v>0.2118076689</v>
      </c>
      <c r="I48" s="29">
        <f>MAX(Command!K:K)</f>
        <v>0.3007417397</v>
      </c>
      <c r="J48" s="29">
        <f>MAX(Command!L:L)</f>
        <v>0</v>
      </c>
      <c r="K48" s="29">
        <f>MAX(Command!M:M)</f>
        <v>0</v>
      </c>
      <c r="L48" s="29">
        <f>MAX(Command!N:N)</f>
        <v>0.9999999404</v>
      </c>
      <c r="M48" s="29">
        <f>MAX(Command!O:O)</f>
        <v>0.9999999404</v>
      </c>
      <c r="O48" s="30" t="s">
        <v>107</v>
      </c>
      <c r="P48" s="31">
        <f>MAX(Command!D2:D4)</f>
        <v>0.07154966422</v>
      </c>
      <c r="Q48" s="31">
        <f>MAX(Command!E2:E4)</f>
        <v>0.750667572</v>
      </c>
      <c r="R48" s="31">
        <f>MAX(Command!F2:F4)</f>
        <v>0.7439956665</v>
      </c>
      <c r="S48" s="31">
        <f>MAX(Command!G2:G4)</f>
        <v>0.7473167777</v>
      </c>
      <c r="T48" s="31">
        <f>MAX(Command!H2:H4)</f>
        <v>0.5101796407</v>
      </c>
      <c r="U48" s="31">
        <f>MAX(Command!I2:I4)</f>
        <v>0.1690647482</v>
      </c>
      <c r="V48" s="31">
        <f>MAX(Command!J2:J4)</f>
        <v>0.2027491409</v>
      </c>
      <c r="W48" s="31">
        <f>MAX(Command!K2:K4)</f>
        <v>0.2923076923</v>
      </c>
      <c r="X48" s="31">
        <f>MAX(Command!L2:L4)</f>
        <v>0</v>
      </c>
      <c r="Y48" s="31">
        <f>MAX(Command!M2:M4)</f>
        <v>0</v>
      </c>
      <c r="Z48" s="31">
        <f>MAX(Command!N2:N4)</f>
        <v>0.9999999404</v>
      </c>
      <c r="AA48" s="31">
        <f>MAX(Command!O2:O4)</f>
        <v>0.8271334767</v>
      </c>
      <c r="AC48" s="30" t="s">
        <v>107</v>
      </c>
      <c r="AD48" s="31">
        <f>MAX(Command!D5:D7)</f>
        <v>0.05895891767</v>
      </c>
      <c r="AE48" s="31">
        <f>MAX(Command!E5:E7)</f>
        <v>0.7275570631</v>
      </c>
      <c r="AF48" s="31">
        <f>MAX(Command!F5:F7)</f>
        <v>0.7088845968</v>
      </c>
      <c r="AG48" s="31">
        <f>MAX(Command!G5:G7)</f>
        <v>0.7176373601</v>
      </c>
      <c r="AH48" s="31">
        <f>MAX(Command!H5:H7)</f>
        <v>0.473777254</v>
      </c>
      <c r="AI48" s="31">
        <f>MAX(Command!I5:I7)</f>
        <v>0.1235330451</v>
      </c>
      <c r="AJ48" s="31">
        <f>MAX(Command!J5:J7)</f>
        <v>0.1921037124</v>
      </c>
      <c r="AK48" s="31">
        <f>MAX(Command!K5:K7)</f>
        <v>0.2776064158</v>
      </c>
      <c r="AL48" s="31">
        <f>MAX(Command!L5:L7)</f>
        <v>0</v>
      </c>
      <c r="AM48" s="31">
        <f>MAX(Command!M5:M7)</f>
        <v>0</v>
      </c>
      <c r="AN48" s="31">
        <f>MAX(Command!N5:N7)</f>
        <v>0.9999999404</v>
      </c>
      <c r="AO48" s="31">
        <f>MAX(Command!O5:O7)</f>
        <v>0.5545380712</v>
      </c>
      <c r="AQ48" s="30" t="s">
        <v>107</v>
      </c>
      <c r="AR48" s="31">
        <f>MAX(Command!D8:D10)</f>
        <v>0.07568502934</v>
      </c>
      <c r="AS48" s="31">
        <f>MAX(Command!E8:E10)</f>
        <v>0.7519648075</v>
      </c>
      <c r="AT48" s="31">
        <f>MAX(Command!F8:F10)</f>
        <v>0.7400058508</v>
      </c>
      <c r="AU48" s="31">
        <f>MAX(Command!G8:G10)</f>
        <v>0.745937407</v>
      </c>
      <c r="AV48" s="31">
        <f>MAX(Command!H8:H10)</f>
        <v>0.5136944614</v>
      </c>
      <c r="AW48" s="31">
        <f>MAX(Command!I8:I10)</f>
        <v>0.1450335161</v>
      </c>
      <c r="AX48" s="31">
        <f>MAX(Command!J8:J10)</f>
        <v>0.2118076689</v>
      </c>
      <c r="AY48" s="31">
        <f>MAX(Command!K8:K10)</f>
        <v>0.2785129175</v>
      </c>
      <c r="AZ48" s="31">
        <f>MAX(Command!L8:L10)</f>
        <v>0</v>
      </c>
      <c r="BA48" s="31">
        <f>MAX(Command!M8:M10)</f>
        <v>0</v>
      </c>
      <c r="BB48" s="31">
        <f>MAX(Command!N8:N10)</f>
        <v>0.9999999404</v>
      </c>
      <c r="BC48" s="31">
        <f>MAX(Command!O8:O10)</f>
        <v>0.9999999404</v>
      </c>
      <c r="BE48" s="30" t="s">
        <v>107</v>
      </c>
      <c r="BF48" s="31">
        <f>MAX(Command!D11:D13)</f>
        <v>0.0563581293</v>
      </c>
      <c r="BG48" s="31">
        <f>MAX(Command!E11:E13)</f>
        <v>0.7305090427</v>
      </c>
      <c r="BH48" s="31">
        <f>MAX(Command!F11:F13)</f>
        <v>0.7280128002</v>
      </c>
      <c r="BI48" s="31">
        <f>MAX(Command!G11:G13)</f>
        <v>0.7289142013</v>
      </c>
      <c r="BJ48" s="31">
        <f>MAX(Command!H11:H13)</f>
        <v>0.4598155468</v>
      </c>
      <c r="BK48" s="31">
        <f>MAX(Command!I11:I13)</f>
        <v>0.117414248</v>
      </c>
      <c r="BL48" s="31">
        <f>MAX(Command!J11:J13)</f>
        <v>0.185770751</v>
      </c>
      <c r="BM48" s="31">
        <f>MAX(Command!K11:K13)</f>
        <v>0.279314888</v>
      </c>
      <c r="BN48" s="31">
        <f>MAX(Command!L11:L13)</f>
        <v>0</v>
      </c>
      <c r="BO48" s="31">
        <f>MAX(Command!M11:M13)</f>
        <v>0</v>
      </c>
      <c r="BP48" s="31">
        <f>MAX(Command!N11:N13)</f>
        <v>0.9999999404</v>
      </c>
      <c r="BQ48" s="31">
        <f>MAX(Command!O11:O13)</f>
        <v>0.9999999404</v>
      </c>
      <c r="BS48" s="30" t="s">
        <v>107</v>
      </c>
      <c r="BT48" s="31">
        <f>MAX(Command!D14:D16)</f>
        <v>0.06579861585</v>
      </c>
      <c r="BU48" s="31">
        <f>MAX(Command!E14:E16)</f>
        <v>0.7276657224</v>
      </c>
      <c r="BV48" s="31">
        <f>MAX(Command!F14:F16)</f>
        <v>0.7248040438</v>
      </c>
      <c r="BW48" s="31">
        <f>MAX(Command!G14:G16)</f>
        <v>0.7246029973</v>
      </c>
      <c r="BX48" s="31">
        <f>MAX(Command!H14:H16)</f>
        <v>0.4761904762</v>
      </c>
      <c r="BY48" s="31">
        <f>MAX(Command!I14:I16)</f>
        <v>0.1485013624</v>
      </c>
      <c r="BZ48" s="31">
        <f>MAX(Command!J14:J16)</f>
        <v>0.1931972789</v>
      </c>
      <c r="CA48" s="31">
        <f>MAX(Command!K14:K16)</f>
        <v>0.2870748299</v>
      </c>
      <c r="CB48" s="31">
        <f>MAX(Command!L14:L16)</f>
        <v>0</v>
      </c>
      <c r="CC48" s="31">
        <f>MAX(Command!M14:M16)</f>
        <v>0</v>
      </c>
      <c r="CD48" s="31">
        <f>MAX(Command!N14:N16)</f>
        <v>0.9999999404</v>
      </c>
      <c r="CE48" s="31">
        <f>MAX(Command!O14:O16)</f>
        <v>0.9999999404</v>
      </c>
      <c r="CG48" s="30" t="s">
        <v>107</v>
      </c>
      <c r="CH48" s="31">
        <f>MAX(Command!D17:D19)</f>
        <v>0.08968896311</v>
      </c>
      <c r="CI48" s="31">
        <f>MAX(Command!E17:E19)</f>
        <v>0.7460528612</v>
      </c>
      <c r="CJ48" s="31">
        <f>MAX(Command!F17:F19)</f>
        <v>0.7299197912</v>
      </c>
      <c r="CK48" s="31">
        <f>MAX(Command!G17:G19)</f>
        <v>0.7373139858</v>
      </c>
      <c r="CL48" s="31">
        <f>MAX(Command!H17:H19)</f>
        <v>0.5375240539</v>
      </c>
      <c r="CM48" s="31">
        <f>MAX(Command!I17:I19)</f>
        <v>0.1759794477</v>
      </c>
      <c r="CN48" s="31">
        <f>MAX(Command!J17:J19)</f>
        <v>0.2009314704</v>
      </c>
      <c r="CO48" s="31">
        <f>MAX(Command!K17:K19)</f>
        <v>0.3007417397</v>
      </c>
      <c r="CP48" s="31">
        <f>MAX(Command!L17:L19)</f>
        <v>0</v>
      </c>
      <c r="CQ48" s="31">
        <f>MAX(Command!M17:M19)</f>
        <v>0</v>
      </c>
      <c r="CR48" s="31">
        <f>MAX(Command!N17:N19)</f>
        <v>0.9999999404</v>
      </c>
      <c r="CS48" s="31">
        <f>MAX(Command!O17:O19)</f>
        <v>0.9999999404</v>
      </c>
    </row>
    <row r="49" ht="15.75" customHeight="1">
      <c r="A49" s="28" t="s">
        <v>108</v>
      </c>
      <c r="B49" s="29">
        <f>MAX(Sabia!D:D)</f>
        <v>0.09862419684</v>
      </c>
      <c r="C49" s="29">
        <f>MAX(Sabia!E:E)</f>
        <v>0.7653224468</v>
      </c>
      <c r="D49" s="29">
        <f>MAX(Sabia!F:F)</f>
        <v>0.7567667365</v>
      </c>
      <c r="E49" s="29">
        <f>MAX(Sabia!G:G)</f>
        <v>0.7610205412</v>
      </c>
      <c r="F49" s="29">
        <f>MAX(Sabia!H:H)</f>
        <v>0.5492451474</v>
      </c>
      <c r="G49" s="29">
        <f>MAX(Sabia!I:I)</f>
        <v>0.1920731707</v>
      </c>
      <c r="H49" s="29">
        <f>MAX(Sabia!J:J)</f>
        <v>0.2115254237</v>
      </c>
      <c r="I49" s="29">
        <f>MAX(Sabia!K:K)</f>
        <v>0.3005032351</v>
      </c>
      <c r="J49" s="29">
        <f>MAX(Sabia!L:L)</f>
        <v>0</v>
      </c>
      <c r="K49" s="29">
        <f>MAX(Sabia!M:M)</f>
        <v>0</v>
      </c>
      <c r="L49" s="29">
        <f>MAX(Sabia!N:N)</f>
        <v>0.9999999404</v>
      </c>
      <c r="M49" s="29">
        <f>MAX(Sabia!O:O)</f>
        <v>0.9999999404</v>
      </c>
      <c r="O49" s="30" t="s">
        <v>108</v>
      </c>
      <c r="P49" s="31">
        <f>MAX(Sabia!D2:D4)</f>
        <v>0.07871670135</v>
      </c>
      <c r="Q49" s="31">
        <f>MAX(Sabia!E2:E4)</f>
        <v>0.7549675703</v>
      </c>
      <c r="R49" s="31">
        <f>MAX(Sabia!F2:F4)</f>
        <v>0.7525502443</v>
      </c>
      <c r="S49" s="31">
        <f>MAX(Sabia!G2:G4)</f>
        <v>0.7520664334</v>
      </c>
      <c r="T49" s="31">
        <f>MAX(Sabia!H2:H4)</f>
        <v>0.5248651887</v>
      </c>
      <c r="U49" s="31">
        <f>MAX(Sabia!I2:I4)</f>
        <v>0.1691661668</v>
      </c>
      <c r="V49" s="31">
        <f>MAX(Sabia!J2:J4)</f>
        <v>0.1918720853</v>
      </c>
      <c r="W49" s="31">
        <f>MAX(Sabia!K2:K4)</f>
        <v>0.2801013942</v>
      </c>
      <c r="X49" s="31">
        <f>MAX(Sabia!L2:L4)</f>
        <v>0</v>
      </c>
      <c r="Y49" s="31">
        <f>MAX(Sabia!M2:M4)</f>
        <v>0</v>
      </c>
      <c r="Z49" s="31">
        <f>MAX(Sabia!N2:N4)</f>
        <v>0.9999999404</v>
      </c>
      <c r="AA49" s="31">
        <f>MAX(Sabia!O2:O4)</f>
        <v>0.8271334767</v>
      </c>
      <c r="AC49" s="30" t="s">
        <v>108</v>
      </c>
      <c r="AD49" s="31">
        <f>MAX(Sabia!D5:D7)</f>
        <v>0.05430975384</v>
      </c>
      <c r="AE49" s="31">
        <f>MAX(Sabia!E5:E7)</f>
        <v>0.7433568835</v>
      </c>
      <c r="AF49" s="31">
        <f>MAX(Sabia!F5:F7)</f>
        <v>0.7222908139</v>
      </c>
      <c r="AG49" s="31">
        <f>MAX(Sabia!G5:G7)</f>
        <v>0.7326724529</v>
      </c>
      <c r="AH49" s="31">
        <f>MAX(Sabia!H5:H7)</f>
        <v>0.4851851852</v>
      </c>
      <c r="AI49" s="31">
        <f>MAX(Sabia!I5:I7)</f>
        <v>0.1309757695</v>
      </c>
      <c r="AJ49" s="31">
        <f>MAX(Sabia!J5:J7)</f>
        <v>0.196206671</v>
      </c>
      <c r="AK49" s="31">
        <f>MAX(Sabia!K5:K7)</f>
        <v>0.2746893394</v>
      </c>
      <c r="AL49" s="31">
        <f>MAX(Sabia!L5:L7)</f>
        <v>0</v>
      </c>
      <c r="AM49" s="31">
        <f>MAX(Sabia!M5:M7)</f>
        <v>0</v>
      </c>
      <c r="AN49" s="31">
        <f>MAX(Sabia!N5:N7)</f>
        <v>0.9999999404</v>
      </c>
      <c r="AO49" s="31">
        <f>MAX(Sabia!O5:O7)</f>
        <v>0.5545380712</v>
      </c>
      <c r="AQ49" s="30" t="s">
        <v>108</v>
      </c>
      <c r="AR49" s="31">
        <f>MAX(Sabia!D8:D10)</f>
        <v>0.09862419684</v>
      </c>
      <c r="AS49" s="31">
        <f>MAX(Sabia!E8:E10)</f>
        <v>0.7653224468</v>
      </c>
      <c r="AT49" s="31">
        <f>MAX(Sabia!F8:F10)</f>
        <v>0.7567667365</v>
      </c>
      <c r="AU49" s="31">
        <f>MAX(Sabia!G8:G10)</f>
        <v>0.7610205412</v>
      </c>
      <c r="AV49" s="31">
        <f>MAX(Sabia!H8:H10)</f>
        <v>0.5287356322</v>
      </c>
      <c r="AW49" s="31">
        <f>MAX(Sabia!I8:I10)</f>
        <v>0.1642905635</v>
      </c>
      <c r="AX49" s="31">
        <f>MAX(Sabia!J8:J10)</f>
        <v>0.2115254237</v>
      </c>
      <c r="AY49" s="31">
        <f>MAX(Sabia!K8:K10)</f>
        <v>0.2937420179</v>
      </c>
      <c r="AZ49" s="31">
        <f>MAX(Sabia!L8:L10)</f>
        <v>0</v>
      </c>
      <c r="BA49" s="31">
        <f>MAX(Sabia!M8:M10)</f>
        <v>0</v>
      </c>
      <c r="BB49" s="31">
        <f>MAX(Sabia!N8:N10)</f>
        <v>0.9999999404</v>
      </c>
      <c r="BC49" s="31">
        <f>MAX(Sabia!O8:O10)</f>
        <v>0.9999999404</v>
      </c>
      <c r="BE49" s="30" t="s">
        <v>108</v>
      </c>
      <c r="BF49" s="31">
        <f>MAX(Sabia!D11:D13)</f>
        <v>0.06620133375</v>
      </c>
      <c r="BG49" s="31">
        <f>MAX(Sabia!E11:E13)</f>
        <v>0.736920476</v>
      </c>
      <c r="BH49" s="31">
        <f>MAX(Sabia!F11:F13)</f>
        <v>0.7343300581</v>
      </c>
      <c r="BI49" s="31">
        <f>MAX(Sabia!G11:G13)</f>
        <v>0.7356230021</v>
      </c>
      <c r="BJ49" s="31">
        <f>MAX(Sabia!H11:H13)</f>
        <v>0.48</v>
      </c>
      <c r="BK49" s="31">
        <f>MAX(Sabia!I11:I13)</f>
        <v>0.1290322581</v>
      </c>
      <c r="BL49" s="31">
        <f>MAX(Sabia!J11:J13)</f>
        <v>0.1911111111</v>
      </c>
      <c r="BM49" s="31">
        <f>MAX(Sabia!K11:K13)</f>
        <v>0.2748091603</v>
      </c>
      <c r="BN49" s="31">
        <f>MAX(Sabia!L11:L13)</f>
        <v>0</v>
      </c>
      <c r="BO49" s="31">
        <f>MAX(Sabia!M11:M13)</f>
        <v>0</v>
      </c>
      <c r="BP49" s="31">
        <f>MAX(Sabia!N11:N13)</f>
        <v>0.9999999404</v>
      </c>
      <c r="BQ49" s="31">
        <f>MAX(Sabia!O11:O13)</f>
        <v>0.9999999404</v>
      </c>
      <c r="BS49" s="30" t="s">
        <v>108</v>
      </c>
      <c r="BT49" s="31">
        <f>MAX(Sabia!D14:D16)</f>
        <v>0.07708339747</v>
      </c>
      <c r="BU49" s="31">
        <f>MAX(Sabia!E14:E16)</f>
        <v>0.7468788624</v>
      </c>
      <c r="BV49" s="31">
        <f>MAX(Sabia!F14:F16)</f>
        <v>0.7422122359</v>
      </c>
      <c r="BW49" s="31">
        <f>MAX(Sabia!G14:G16)</f>
        <v>0.7441130877</v>
      </c>
      <c r="BX49" s="31">
        <f>MAX(Sabia!H14:H16)</f>
        <v>0.5168700646</v>
      </c>
      <c r="BY49" s="31">
        <f>MAX(Sabia!I14:I16)</f>
        <v>0.1538461538</v>
      </c>
      <c r="BZ49" s="31">
        <f>MAX(Sabia!J14:J16)</f>
        <v>0.2040816327</v>
      </c>
      <c r="CA49" s="31">
        <f>MAX(Sabia!K14:K16)</f>
        <v>0.2795698925</v>
      </c>
      <c r="CB49" s="31">
        <f>MAX(Sabia!L14:L16)</f>
        <v>0</v>
      </c>
      <c r="CC49" s="31">
        <f>MAX(Sabia!M14:M16)</f>
        <v>0</v>
      </c>
      <c r="CD49" s="31">
        <f>MAX(Sabia!N14:N16)</f>
        <v>0.9999999404</v>
      </c>
      <c r="CE49" s="31">
        <f>MAX(Sabia!O14:O16)</f>
        <v>0.9999999404</v>
      </c>
      <c r="CG49" s="30" t="s">
        <v>108</v>
      </c>
      <c r="CH49" s="31">
        <f>MAX(Sabia!D17:R19)</f>
        <v>0.9999999404</v>
      </c>
      <c r="CI49" s="31">
        <f>MAX(Sabia!E17:S19)</f>
        <v>0.9999999404</v>
      </c>
      <c r="CJ49" s="31">
        <f>MAX(Sabia!F17:T19)</f>
        <v>0.9999999404</v>
      </c>
      <c r="CK49" s="31">
        <f>MAX(Sabia!G17:U19)</f>
        <v>0.9999999404</v>
      </c>
      <c r="CL49" s="31">
        <f>MAX(Sabia!H17:V19)</f>
        <v>0.9999999404</v>
      </c>
      <c r="CM49" s="31">
        <f>MAX(Sabia!I17:W19)</f>
        <v>0.9999999404</v>
      </c>
      <c r="CN49" s="31">
        <f>MAX(Sabia!J17:X19)</f>
        <v>0.9999999404</v>
      </c>
      <c r="CO49" s="31">
        <f>MAX(Sabia!K17:Y19)</f>
        <v>0.9999999404</v>
      </c>
      <c r="CP49" s="31">
        <f>MAX(Sabia!L17:Z19)</f>
        <v>0.9999999404</v>
      </c>
      <c r="CQ49" s="31">
        <f>MAX(Sabia!M17:AA19)</f>
        <v>0.9999999404</v>
      </c>
      <c r="CR49" s="31">
        <f>MAX(Sabia!N17:AB19)</f>
        <v>0.9999999404</v>
      </c>
      <c r="CS49" s="31">
        <f>MAX(Sabia!O17:AC19)</f>
        <v>0.9999999404</v>
      </c>
    </row>
    <row r="50" ht="15.75" customHeight="1">
      <c r="A50" s="28" t="s">
        <v>109</v>
      </c>
      <c r="B50" s="29">
        <f>MAX(GPT!D:D)</f>
        <v>0.1034958841</v>
      </c>
      <c r="C50" s="29">
        <f>MAX(GPT!E:E)</f>
        <v>0.7569897771</v>
      </c>
      <c r="D50" s="29">
        <f>MAX(GPT!F:F)</f>
        <v>0.7521843314</v>
      </c>
      <c r="E50" s="29">
        <f>MAX(GPT!G:G)</f>
        <v>0.7536765337</v>
      </c>
      <c r="F50" s="29">
        <f>MAX(GPT!H:H)</f>
        <v>0.5310059715</v>
      </c>
      <c r="G50" s="29">
        <f>MAX(GPT!I:I)</f>
        <v>0.1791530945</v>
      </c>
      <c r="H50" s="29">
        <f>MAX(GPT!J:J)</f>
        <v>0.1956521739</v>
      </c>
      <c r="I50" s="29">
        <f>MAX(GPT!K:K)</f>
        <v>0.2904564315</v>
      </c>
      <c r="J50" s="29">
        <f>MAX(GPT!L:L)</f>
        <v>0</v>
      </c>
      <c r="K50" s="29">
        <f>MAX(GPT!M:M)</f>
        <v>0</v>
      </c>
      <c r="L50" s="29">
        <f>MAX(GPT!N:N)</f>
        <v>0.9999999404</v>
      </c>
      <c r="M50" s="29">
        <f>MAX(GPT!O:O)</f>
        <v>0.9999999404</v>
      </c>
      <c r="O50" s="30" t="s">
        <v>109</v>
      </c>
      <c r="P50" s="31">
        <f>MAX(GPT!D2:D4)</f>
        <v>0.09438579174</v>
      </c>
      <c r="Q50" s="31">
        <f>MAX(GPT!E2:E4)</f>
        <v>0.7509553432</v>
      </c>
      <c r="R50" s="31">
        <f>MAX(GPT!F2:F4)</f>
        <v>0.7521843314</v>
      </c>
      <c r="S50" s="31">
        <f>MAX(GPT!G2:G4)</f>
        <v>0.751083374</v>
      </c>
      <c r="T50" s="31">
        <f>MAX(GPT!H2:H4)</f>
        <v>0.5310059715</v>
      </c>
      <c r="U50" s="31">
        <f>MAX(GPT!I2:I4)</f>
        <v>0.1784130113</v>
      </c>
      <c r="V50" s="31">
        <f>MAX(GPT!J2:J4)</f>
        <v>0.1938447405</v>
      </c>
      <c r="W50" s="31">
        <f>MAX(GPT!K2:K4)</f>
        <v>0.2847955903</v>
      </c>
      <c r="X50" s="31">
        <f>MAX(GPT!L2:L4)</f>
        <v>0</v>
      </c>
      <c r="Y50" s="31">
        <f>MAX(GPT!M2:M4)</f>
        <v>0</v>
      </c>
      <c r="Z50" s="31">
        <f>MAX(GPT!N2:N4)</f>
        <v>0.9999999404</v>
      </c>
      <c r="AA50" s="31">
        <f>MAX(GPT!O2:O4)</f>
        <v>0.8271334767</v>
      </c>
      <c r="AC50" s="30" t="s">
        <v>109</v>
      </c>
      <c r="AD50" s="31">
        <f>MAX(GPT!D5:D7)</f>
        <v>0.06266801524</v>
      </c>
      <c r="AE50" s="31">
        <f>MAX(GPT!E5:E7)</f>
        <v>0.7371367216</v>
      </c>
      <c r="AF50" s="31">
        <f>MAX(GPT!F5:F7)</f>
        <v>0.7205666304</v>
      </c>
      <c r="AG50" s="31">
        <f>MAX(GPT!G5:G7)</f>
        <v>0.7287575006</v>
      </c>
      <c r="AH50" s="31">
        <f>MAX(GPT!H5:H7)</f>
        <v>0.4803229062</v>
      </c>
      <c r="AI50" s="31">
        <f>MAX(GPT!I5:I7)</f>
        <v>0.1444444444</v>
      </c>
      <c r="AJ50" s="31">
        <f>MAX(GPT!J5:J7)</f>
        <v>0.1842900302</v>
      </c>
      <c r="AK50" s="31">
        <f>MAX(GPT!K5:K7)</f>
        <v>0.2565789474</v>
      </c>
      <c r="AL50" s="31">
        <f>MAX(GPT!L5:L7)</f>
        <v>0</v>
      </c>
      <c r="AM50" s="31">
        <f>MAX(GPT!M5:M7)</f>
        <v>0</v>
      </c>
      <c r="AN50" s="31">
        <f>MAX(GPT!N5:N7)</f>
        <v>0.9999999404</v>
      </c>
      <c r="AO50" s="31">
        <f>MAX(GPT!O5:O7)</f>
        <v>0.5545380712</v>
      </c>
      <c r="AQ50" s="30" t="s">
        <v>109</v>
      </c>
      <c r="AR50" s="31">
        <f>MAX(GPT!D8:D10)</f>
        <v>0.1034958841</v>
      </c>
      <c r="AS50" s="31">
        <f>MAX(GPT!E8:E10)</f>
        <v>0.7569897771</v>
      </c>
      <c r="AT50" s="31">
        <f>MAX(GPT!F8:F10)</f>
        <v>0.7503923178</v>
      </c>
      <c r="AU50" s="31">
        <f>MAX(GPT!G8:G10)</f>
        <v>0.7536765337</v>
      </c>
      <c r="AV50" s="31">
        <f>MAX(GPT!H8:H10)</f>
        <v>0.5155279503</v>
      </c>
      <c r="AW50" s="31">
        <f>MAX(GPT!I8:I10)</f>
        <v>0.1668393782</v>
      </c>
      <c r="AX50" s="31">
        <f>MAX(GPT!J8:J10)</f>
        <v>0.1956521739</v>
      </c>
      <c r="AY50" s="31">
        <f>MAX(GPT!K8:K10)</f>
        <v>0.2904564315</v>
      </c>
      <c r="AZ50" s="31">
        <f>MAX(GPT!L8:L10)</f>
        <v>0</v>
      </c>
      <c r="BA50" s="31">
        <f>MAX(GPT!M8:M10)</f>
        <v>0</v>
      </c>
      <c r="BB50" s="31">
        <f>MAX(GPT!N8:N10)</f>
        <v>0.9999999404</v>
      </c>
      <c r="BC50" s="31">
        <f>MAX(GPT!O8:O10)</f>
        <v>0.9999999404</v>
      </c>
      <c r="BE50" s="30" t="s">
        <v>109</v>
      </c>
      <c r="BF50" s="31">
        <f>MAX(GPT!D11:D13)</f>
        <v>0.05534937492</v>
      </c>
      <c r="BG50" s="31">
        <f>MAX(GPT!E11:E13)</f>
        <v>0.7403286695</v>
      </c>
      <c r="BH50" s="31">
        <f>MAX(GPT!F11:F13)</f>
        <v>0.7397989631</v>
      </c>
      <c r="BI50" s="31">
        <f>MAX(GPT!G11:G13)</f>
        <v>0.7400637269</v>
      </c>
      <c r="BJ50" s="31">
        <f>MAX(GPT!H11:H13)</f>
        <v>0.4593248478</v>
      </c>
      <c r="BK50" s="31">
        <f>MAX(GPT!I11:I13)</f>
        <v>0.1221543587</v>
      </c>
      <c r="BL50" s="31">
        <f>MAX(GPT!J11:J13)</f>
        <v>0.184836746</v>
      </c>
      <c r="BM50" s="31">
        <f>MAX(GPT!K11:K13)</f>
        <v>0.249031544</v>
      </c>
      <c r="BN50" s="31">
        <f>MAX(GPT!L11:L13)</f>
        <v>0</v>
      </c>
      <c r="BO50" s="31">
        <f>MAX(GPT!M11:M13)</f>
        <v>0</v>
      </c>
      <c r="BP50" s="31">
        <f>MAX(GPT!N11:N13)</f>
        <v>0.9999999404</v>
      </c>
      <c r="BQ50" s="31">
        <f>MAX(GPT!O11:O13)</f>
        <v>0.9999999404</v>
      </c>
      <c r="BS50" s="30" t="s">
        <v>109</v>
      </c>
      <c r="BT50" s="31">
        <f>MAX(GPT!D14:D16)</f>
        <v>0.06720058981</v>
      </c>
      <c r="BU50" s="31">
        <f>MAX(GPT!E14:E16)</f>
        <v>0.7385874987</v>
      </c>
      <c r="BV50" s="31">
        <f>MAX(GPT!F14:F16)</f>
        <v>0.733694911</v>
      </c>
      <c r="BW50" s="31">
        <f>MAX(GPT!G14:G16)</f>
        <v>0.7361330986</v>
      </c>
      <c r="BX50" s="31">
        <f>MAX(GPT!H14:H16)</f>
        <v>0.4650369528</v>
      </c>
      <c r="BY50" s="31">
        <f>MAX(GPT!I14:I16)</f>
        <v>0.1432332807</v>
      </c>
      <c r="BZ50" s="31">
        <f>MAX(GPT!J14:J16)</f>
        <v>0.1862177801</v>
      </c>
      <c r="CA50" s="31">
        <f>MAX(GPT!K14:K16)</f>
        <v>0.2637862422</v>
      </c>
      <c r="CB50" s="31">
        <f>MAX(GPT!L14:L16)</f>
        <v>0</v>
      </c>
      <c r="CC50" s="31">
        <f>MAX(GPT!M14:M16)</f>
        <v>0</v>
      </c>
      <c r="CD50" s="31">
        <f>MAX(GPT!N14:N16)</f>
        <v>0.9999999404</v>
      </c>
      <c r="CE50" s="31">
        <f>MAX(GPT!O14:O16)</f>
        <v>0.9999999404</v>
      </c>
      <c r="CG50" s="30" t="s">
        <v>109</v>
      </c>
      <c r="CH50" s="31">
        <f>MAX(GPT!D17:D19)</f>
        <v>0.07076569948</v>
      </c>
      <c r="CI50" s="31">
        <f>MAX(GPT!E17:E19)</f>
        <v>0.7471856475</v>
      </c>
      <c r="CJ50" s="31">
        <f>MAX(GPT!F17:F19)</f>
        <v>0.7358137369</v>
      </c>
      <c r="CK50" s="31">
        <f>MAX(GPT!G17:G19)</f>
        <v>0.741456151</v>
      </c>
      <c r="CL50" s="31">
        <f>MAX(GPT!H17:H19)</f>
        <v>0.5183982684</v>
      </c>
      <c r="CM50" s="31">
        <f>MAX(GPT!I17:I19)</f>
        <v>0.1791530945</v>
      </c>
      <c r="CN50" s="31">
        <f>MAX(GPT!J17:J19)</f>
        <v>0.1887201735</v>
      </c>
      <c r="CO50" s="31">
        <f>MAX(GPT!K17:K19)</f>
        <v>0.284164859</v>
      </c>
      <c r="CP50" s="31">
        <f>MAX(GPT!L17:L19)</f>
        <v>0</v>
      </c>
      <c r="CQ50" s="31">
        <f>MAX(GPT!M17:M19)</f>
        <v>0</v>
      </c>
      <c r="CR50" s="31">
        <f>MAX(GPT!N17:N19)</f>
        <v>0.9999999404</v>
      </c>
      <c r="CS50" s="31">
        <f>MAX(GPT!O17:O19)</f>
        <v>0.9999999404</v>
      </c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</row>
    <row r="53" ht="15.75" customHeight="1">
      <c r="A53" s="22"/>
      <c r="B53" s="38" t="s">
        <v>3</v>
      </c>
      <c r="C53" s="24"/>
      <c r="D53" s="38" t="s">
        <v>4</v>
      </c>
      <c r="E53" s="24"/>
      <c r="F53" s="38" t="s">
        <v>5</v>
      </c>
      <c r="G53" s="24"/>
      <c r="H53" s="38" t="s">
        <v>6</v>
      </c>
      <c r="I53" s="24"/>
      <c r="J53" s="38" t="s">
        <v>7</v>
      </c>
      <c r="K53" s="24"/>
      <c r="L53" s="38" t="s">
        <v>8</v>
      </c>
      <c r="M53" s="24"/>
      <c r="P53" s="39" t="s">
        <v>3</v>
      </c>
      <c r="Q53" s="24"/>
      <c r="R53" s="39" t="s">
        <v>4</v>
      </c>
      <c r="S53" s="24"/>
      <c r="T53" s="39" t="s">
        <v>5</v>
      </c>
      <c r="U53" s="24"/>
      <c r="V53" s="39" t="s">
        <v>6</v>
      </c>
      <c r="W53" s="24"/>
      <c r="X53" s="39" t="s">
        <v>7</v>
      </c>
      <c r="Y53" s="24"/>
      <c r="Z53" s="39" t="s">
        <v>8</v>
      </c>
      <c r="AA53" s="24"/>
      <c r="AD53" s="39" t="s">
        <v>3</v>
      </c>
      <c r="AE53" s="24"/>
      <c r="AF53" s="39" t="s">
        <v>4</v>
      </c>
      <c r="AG53" s="24"/>
      <c r="AH53" s="39" t="s">
        <v>5</v>
      </c>
      <c r="AI53" s="24"/>
      <c r="AJ53" s="39" t="s">
        <v>6</v>
      </c>
      <c r="AK53" s="24"/>
      <c r="AL53" s="39" t="s">
        <v>7</v>
      </c>
      <c r="AM53" s="24"/>
      <c r="AN53" s="39" t="s">
        <v>8</v>
      </c>
      <c r="AO53" s="24"/>
      <c r="AR53" s="39" t="s">
        <v>3</v>
      </c>
      <c r="AS53" s="24"/>
      <c r="AT53" s="39" t="s">
        <v>4</v>
      </c>
      <c r="AU53" s="24"/>
      <c r="AV53" s="39" t="s">
        <v>5</v>
      </c>
      <c r="AW53" s="24"/>
      <c r="AX53" s="39" t="s">
        <v>6</v>
      </c>
      <c r="AY53" s="24"/>
      <c r="AZ53" s="39" t="s">
        <v>7</v>
      </c>
      <c r="BA53" s="24"/>
      <c r="BB53" s="39" t="s">
        <v>8</v>
      </c>
      <c r="BC53" s="24"/>
      <c r="BF53" s="39" t="s">
        <v>3</v>
      </c>
      <c r="BG53" s="24"/>
      <c r="BH53" s="39" t="s">
        <v>4</v>
      </c>
      <c r="BI53" s="24"/>
      <c r="BJ53" s="39" t="s">
        <v>5</v>
      </c>
      <c r="BK53" s="24"/>
      <c r="BL53" s="39" t="s">
        <v>6</v>
      </c>
      <c r="BM53" s="24"/>
      <c r="BN53" s="39" t="s">
        <v>7</v>
      </c>
      <c r="BO53" s="24"/>
      <c r="BP53" s="39" t="s">
        <v>8</v>
      </c>
      <c r="BQ53" s="24"/>
      <c r="BT53" s="39" t="s">
        <v>3</v>
      </c>
      <c r="BU53" s="24"/>
      <c r="BV53" s="39" t="s">
        <v>4</v>
      </c>
      <c r="BW53" s="24"/>
      <c r="BX53" s="39" t="s">
        <v>5</v>
      </c>
      <c r="BY53" s="24"/>
      <c r="BZ53" s="39" t="s">
        <v>6</v>
      </c>
      <c r="CA53" s="24"/>
      <c r="CB53" s="39" t="s">
        <v>7</v>
      </c>
      <c r="CC53" s="24"/>
      <c r="CD53" s="39" t="s">
        <v>8</v>
      </c>
      <c r="CE53" s="24"/>
      <c r="CH53" s="39" t="s">
        <v>3</v>
      </c>
      <c r="CI53" s="24"/>
      <c r="CJ53" s="39" t="s">
        <v>4</v>
      </c>
      <c r="CK53" s="24"/>
      <c r="CL53" s="39" t="s">
        <v>5</v>
      </c>
      <c r="CM53" s="24"/>
      <c r="CN53" s="39" t="s">
        <v>6</v>
      </c>
      <c r="CO53" s="24"/>
      <c r="CP53" s="39" t="s">
        <v>7</v>
      </c>
      <c r="CQ53" s="24"/>
      <c r="CR53" s="39" t="s">
        <v>8</v>
      </c>
      <c r="CS53" s="24"/>
    </row>
    <row r="54" ht="15.75" customHeight="1">
      <c r="A54" s="22"/>
      <c r="B54" s="40" t="s">
        <v>99</v>
      </c>
      <c r="C54" s="40" t="s">
        <v>100</v>
      </c>
      <c r="D54" s="40" t="s">
        <v>99</v>
      </c>
      <c r="E54" s="40" t="s">
        <v>100</v>
      </c>
      <c r="F54" s="40" t="s">
        <v>99</v>
      </c>
      <c r="G54" s="40" t="s">
        <v>100</v>
      </c>
      <c r="H54" s="40" t="s">
        <v>99</v>
      </c>
      <c r="I54" s="40" t="s">
        <v>100</v>
      </c>
      <c r="J54" s="40" t="s">
        <v>99</v>
      </c>
      <c r="K54" s="40" t="s">
        <v>100</v>
      </c>
      <c r="L54" s="40" t="s">
        <v>99</v>
      </c>
      <c r="M54" s="40" t="s">
        <v>100</v>
      </c>
      <c r="P54" s="41" t="s">
        <v>99</v>
      </c>
      <c r="Q54" s="41" t="s">
        <v>100</v>
      </c>
      <c r="R54" s="41" t="s">
        <v>99</v>
      </c>
      <c r="S54" s="41" t="s">
        <v>100</v>
      </c>
      <c r="T54" s="41" t="s">
        <v>99</v>
      </c>
      <c r="U54" s="41" t="s">
        <v>100</v>
      </c>
      <c r="V54" s="41" t="s">
        <v>99</v>
      </c>
      <c r="W54" s="41" t="s">
        <v>100</v>
      </c>
      <c r="X54" s="41" t="s">
        <v>99</v>
      </c>
      <c r="Y54" s="41" t="s">
        <v>100</v>
      </c>
      <c r="Z54" s="41" t="s">
        <v>99</v>
      </c>
      <c r="AA54" s="41" t="s">
        <v>100</v>
      </c>
      <c r="AD54" s="41" t="s">
        <v>99</v>
      </c>
      <c r="AE54" s="41" t="s">
        <v>100</v>
      </c>
      <c r="AF54" s="41" t="s">
        <v>99</v>
      </c>
      <c r="AG54" s="41" t="s">
        <v>100</v>
      </c>
      <c r="AH54" s="41" t="s">
        <v>99</v>
      </c>
      <c r="AI54" s="41" t="s">
        <v>100</v>
      </c>
      <c r="AJ54" s="41" t="s">
        <v>99</v>
      </c>
      <c r="AK54" s="41" t="s">
        <v>100</v>
      </c>
      <c r="AL54" s="41" t="s">
        <v>99</v>
      </c>
      <c r="AM54" s="41" t="s">
        <v>100</v>
      </c>
      <c r="AN54" s="41" t="s">
        <v>99</v>
      </c>
      <c r="AO54" s="41" t="s">
        <v>100</v>
      </c>
      <c r="AR54" s="41" t="s">
        <v>99</v>
      </c>
      <c r="AS54" s="41" t="s">
        <v>100</v>
      </c>
      <c r="AT54" s="41" t="s">
        <v>99</v>
      </c>
      <c r="AU54" s="41" t="s">
        <v>100</v>
      </c>
      <c r="AV54" s="41" t="s">
        <v>99</v>
      </c>
      <c r="AW54" s="41" t="s">
        <v>100</v>
      </c>
      <c r="AX54" s="41" t="s">
        <v>99</v>
      </c>
      <c r="AY54" s="41" t="s">
        <v>100</v>
      </c>
      <c r="AZ54" s="41" t="s">
        <v>99</v>
      </c>
      <c r="BA54" s="41" t="s">
        <v>100</v>
      </c>
      <c r="BB54" s="41" t="s">
        <v>99</v>
      </c>
      <c r="BC54" s="41" t="s">
        <v>100</v>
      </c>
      <c r="BF54" s="41" t="s">
        <v>99</v>
      </c>
      <c r="BG54" s="41" t="s">
        <v>100</v>
      </c>
      <c r="BH54" s="41" t="s">
        <v>99</v>
      </c>
      <c r="BI54" s="41" t="s">
        <v>100</v>
      </c>
      <c r="BJ54" s="41" t="s">
        <v>99</v>
      </c>
      <c r="BK54" s="41" t="s">
        <v>100</v>
      </c>
      <c r="BL54" s="41" t="s">
        <v>99</v>
      </c>
      <c r="BM54" s="41" t="s">
        <v>100</v>
      </c>
      <c r="BN54" s="41" t="s">
        <v>99</v>
      </c>
      <c r="BO54" s="41" t="s">
        <v>100</v>
      </c>
      <c r="BP54" s="41" t="s">
        <v>99</v>
      </c>
      <c r="BQ54" s="41" t="s">
        <v>100</v>
      </c>
      <c r="BT54" s="41" t="s">
        <v>99</v>
      </c>
      <c r="BU54" s="41" t="s">
        <v>100</v>
      </c>
      <c r="BV54" s="41" t="s">
        <v>99</v>
      </c>
      <c r="BW54" s="41" t="s">
        <v>100</v>
      </c>
      <c r="BX54" s="41" t="s">
        <v>99</v>
      </c>
      <c r="BY54" s="41" t="s">
        <v>100</v>
      </c>
      <c r="BZ54" s="41" t="s">
        <v>99</v>
      </c>
      <c r="CA54" s="41" t="s">
        <v>100</v>
      </c>
      <c r="CB54" s="41" t="s">
        <v>99</v>
      </c>
      <c r="CC54" s="41" t="s">
        <v>100</v>
      </c>
      <c r="CD54" s="41" t="s">
        <v>99</v>
      </c>
      <c r="CE54" s="41" t="s">
        <v>100</v>
      </c>
      <c r="CH54" s="41" t="s">
        <v>99</v>
      </c>
      <c r="CI54" s="41" t="s">
        <v>100</v>
      </c>
      <c r="CJ54" s="41" t="s">
        <v>99</v>
      </c>
      <c r="CK54" s="41" t="s">
        <v>100</v>
      </c>
      <c r="CL54" s="41" t="s">
        <v>99</v>
      </c>
      <c r="CM54" s="41" t="s">
        <v>100</v>
      </c>
      <c r="CN54" s="41" t="s">
        <v>99</v>
      </c>
      <c r="CO54" s="41" t="s">
        <v>100</v>
      </c>
      <c r="CP54" s="41" t="s">
        <v>99</v>
      </c>
      <c r="CQ54" s="41" t="s">
        <v>100</v>
      </c>
      <c r="CR54" s="41" t="s">
        <v>99</v>
      </c>
      <c r="CS54" s="41" t="s">
        <v>100</v>
      </c>
    </row>
    <row r="55" ht="15.75" customHeight="1">
      <c r="A55" s="42" t="s">
        <v>101</v>
      </c>
      <c r="B55" s="43">
        <f>MIN(metricas_media!$D20:$D37)</f>
        <v>0.03152445845</v>
      </c>
      <c r="C55" s="43">
        <f>MIN(metricas_media!$D38:$D55)</f>
        <v>0.04214749409</v>
      </c>
      <c r="D55" s="43">
        <f>MIN(metricas_media!$E20:$E37)</f>
        <v>0.7212876678</v>
      </c>
      <c r="E55" s="43">
        <f>MIN(metricas_media!$E38:$E55)</f>
        <v>0.7298762202</v>
      </c>
      <c r="F55" s="43">
        <f>MIN(metricas_media!$F20:$F37)</f>
        <v>0.7010066509</v>
      </c>
      <c r="G55" s="43">
        <f>MIN(metricas_media!$F38:$F55)</f>
        <v>0.7077732086</v>
      </c>
      <c r="H55" s="43">
        <f>MIN(metricas_media!$G20:$G37)</f>
        <v>0.7110025287</v>
      </c>
      <c r="I55" s="43">
        <f>MIN(metricas_media!$G38:$G55)</f>
        <v>0.7186548114</v>
      </c>
      <c r="J55" s="43">
        <f>MIN(metricas_media!$H20:$H37)</f>
        <v>0.4246395806</v>
      </c>
      <c r="K55" s="43">
        <f>MIN(metricas_media!$H38:$H55)</f>
        <v>0.4545454545</v>
      </c>
      <c r="L55" s="43">
        <f>MIN(metricas_media!$I20:$I37)</f>
        <v>0.09759271308</v>
      </c>
      <c r="M55" s="43">
        <f>MIN(metricas_media!$I38:$I55)</f>
        <v>0.1103810775</v>
      </c>
      <c r="O55" s="44" t="s">
        <v>101</v>
      </c>
      <c r="P55" s="45">
        <f>MIN(Gemma!$D2:$D4)</f>
        <v>0.05588932558</v>
      </c>
      <c r="Q55" s="45">
        <f>MIN(Gemma!$D5:$D7)</f>
        <v>0.0472947851</v>
      </c>
      <c r="R55" s="45">
        <f>MIN(Gemma!$E2:$E4)</f>
        <v>0.7438938022</v>
      </c>
      <c r="S55" s="45">
        <f>MIN(Gemma!$E5:$E7)</f>
        <v>0.7580513358</v>
      </c>
      <c r="T55" s="45">
        <f>MIN(Gemma!$F2:$F4)</f>
        <v>0.7367084026</v>
      </c>
      <c r="U55" s="45">
        <f>MIN(Gemma!$F5:$F7)</f>
        <v>0.7499002218</v>
      </c>
      <c r="V55" s="45">
        <f>MIN(Gemma!$G2:$G4)</f>
        <v>0.740283668</v>
      </c>
      <c r="W55" s="45">
        <f>MIN(Gemma!$G5:$G7)</f>
        <v>0.7541122437</v>
      </c>
      <c r="X55" s="45">
        <f>MIN(Gemma!$H2:$H4)</f>
        <v>0.4685714286</v>
      </c>
      <c r="Y55" s="45">
        <f>MIN(Gemma!$H5:$H7)</f>
        <v>0.4806303349</v>
      </c>
      <c r="Z55" s="45">
        <f>MIN(Gemma!$I2:$I4)</f>
        <v>0.1551176097</v>
      </c>
      <c r="AA55" s="45">
        <f>MIN(Gemma!$I5:$I7)</f>
        <v>0.1540420115</v>
      </c>
      <c r="AC55" s="44" t="s">
        <v>101</v>
      </c>
      <c r="AD55" s="45">
        <f>MIN(Gemma!$D8:$D10)</f>
        <v>0.03447101149</v>
      </c>
      <c r="AE55" s="45">
        <f>MIN(Gemma!$D11:$D13)</f>
        <v>0.04214749409</v>
      </c>
      <c r="AF55" s="45">
        <f>MIN(Gemma!$E8:$E10)</f>
        <v>0.7212876678</v>
      </c>
      <c r="AG55" s="45">
        <f>MIN(Gemma!$E11:$E13)</f>
        <v>0.7298762202</v>
      </c>
      <c r="AH55" s="45">
        <f>MIN(Gemma!$F8:$F10)</f>
        <v>0.7010066509</v>
      </c>
      <c r="AI55" s="45">
        <f>MIN(Gemma!$F11:$F13)</f>
        <v>0.7077732086</v>
      </c>
      <c r="AJ55" s="45">
        <f>MIN(Gemma!$G8:$G10)</f>
        <v>0.7110025287</v>
      </c>
      <c r="AK55" s="45">
        <f>MIN(Gemma!$G11:$G13)</f>
        <v>0.7186548114</v>
      </c>
      <c r="AL55" s="45">
        <f>MIN(Gemma!$H8:$H10)</f>
        <v>0.4246395806</v>
      </c>
      <c r="AM55" s="45">
        <f>MIN(Gemma!$H11:$H13)</f>
        <v>0.4545454545</v>
      </c>
      <c r="AN55" s="45">
        <f>MIN(Gemma!$I8:$I10)</f>
        <v>0.09759271308</v>
      </c>
      <c r="AO55" s="45">
        <f>MIN(Gemma!$I11:$I13)</f>
        <v>0.1103810775</v>
      </c>
      <c r="AQ55" s="44" t="s">
        <v>101</v>
      </c>
      <c r="AR55" s="45">
        <f>MIN(Gemma!$D14:$D16)</f>
        <v>0.04794497047</v>
      </c>
      <c r="AS55" s="45">
        <f>MIN(Gemma!$D17:$D19)</f>
        <v>0.07149637424</v>
      </c>
      <c r="AT55" s="45">
        <f>MIN(Gemma!$E14:$E16)</f>
        <v>0.7493394613</v>
      </c>
      <c r="AU55" s="45">
        <f>MIN(Gemma!$E17:$E19)</f>
        <v>0.761957705</v>
      </c>
      <c r="AV55" s="45">
        <f>MIN(Gemma!$F14:$F16)</f>
        <v>0.7387650013</v>
      </c>
      <c r="AW55" s="45">
        <f>MIN(Gemma!$F17:$F19)</f>
        <v>0.7462158203</v>
      </c>
      <c r="AX55" s="45">
        <f>MIN(Gemma!$G14:$G16)</f>
        <v>0.7440146804</v>
      </c>
      <c r="AY55" s="45">
        <f>MIN(Gemma!$G17:$G19)</f>
        <v>0.7540046573</v>
      </c>
      <c r="AZ55" s="45">
        <f>MIN(Gemma!$H14:$H16)</f>
        <v>0.4442934783</v>
      </c>
      <c r="BA55" s="45">
        <f>MIN(Gemma!$H17:$H19)</f>
        <v>0.4830985915</v>
      </c>
      <c r="BB55" s="45">
        <f>MIN(Gemma!$I14:$I16)</f>
        <v>0.1159811194</v>
      </c>
      <c r="BC55" s="45">
        <f>MIN(Gemma!$I17:$I19)</f>
        <v>0.1565585331</v>
      </c>
      <c r="BE55" s="44" t="s">
        <v>101</v>
      </c>
      <c r="BF55" s="45">
        <f>MIN(Gemma!$D20:$D22)</f>
        <v>0.04645175456</v>
      </c>
      <c r="BG55" s="45">
        <f>MIN(Gemma!$D23:$D25)</f>
        <v>0.05412682161</v>
      </c>
      <c r="BH55" s="45">
        <f>MIN(Gemma!$E20:$E22)</f>
        <v>0.7354031205</v>
      </c>
      <c r="BI55" s="45">
        <f>MIN(Gemma!$E23:$E25)</f>
        <v>0.7360329628</v>
      </c>
      <c r="BJ55" s="45">
        <f>MIN(Gemma!$F20:$F22)</f>
        <v>0.7286776304</v>
      </c>
      <c r="BK55" s="45">
        <f>MIN(Gemma!$F23:$F25)</f>
        <v>0.7295037508</v>
      </c>
      <c r="BL55" s="45">
        <f>MIN(Gemma!$G20:$G22)</f>
        <v>0.7320249081</v>
      </c>
      <c r="BM55" s="45">
        <f>MIN(Gemma!$G23:$G25)</f>
        <v>0.7327538133</v>
      </c>
      <c r="BN55" s="45">
        <f>MIN(Gemma!$H20:$H22)</f>
        <v>0.4573125464</v>
      </c>
      <c r="BO55" s="45">
        <f>MIN(Gemma!$H23:$H25)</f>
        <v>0.467953668</v>
      </c>
      <c r="BP55" s="45">
        <f>MIN(Gemma!$I20:$I22)</f>
        <v>0.1115241636</v>
      </c>
      <c r="BQ55" s="45">
        <f>MIN(Gemma!$I23:$I25)</f>
        <v>0.1191028616</v>
      </c>
      <c r="BS55" s="44" t="s">
        <v>101</v>
      </c>
      <c r="BT55" s="45">
        <f>MIN(Gemma!$D26:$D28)</f>
        <v>0.03152445845</v>
      </c>
      <c r="BU55" s="45">
        <f>MIN(Gemma!$D29:$D31)</f>
        <v>0.05866973462</v>
      </c>
      <c r="BV55" s="45">
        <f>MIN(Gemma!$E26:$E28)</f>
        <v>0.7237126827</v>
      </c>
      <c r="BW55" s="45">
        <f>MIN(Gemma!$E29:$E31)</f>
        <v>0.7413948774</v>
      </c>
      <c r="BX55" s="45">
        <f>MIN(Gemma!$F26:$F28)</f>
        <v>0.7130594254</v>
      </c>
      <c r="BY55" s="45">
        <f>MIN(Gemma!$F29:$F31)</f>
        <v>0.730645299</v>
      </c>
      <c r="BZ55" s="45">
        <f>MIN(Gemma!$G26:$G28)</f>
        <v>0.7183465958</v>
      </c>
      <c r="CA55" s="45">
        <f>MIN(Gemma!$G29:$G31)</f>
        <v>0.7369448543</v>
      </c>
      <c r="CB55" s="45">
        <f>MIN(Gemma!$H26:$H28)</f>
        <v>0.4434180139</v>
      </c>
      <c r="CC55" s="45">
        <f>MIN(Gemma!$H29:$H31)</f>
        <v>0.4859663192</v>
      </c>
      <c r="CD55" s="45">
        <f>MIN(Gemma!$I26:$I28)</f>
        <v>0.1083969466</v>
      </c>
      <c r="CE55" s="45">
        <f>MIN(Gemma!$I29:$I31)</f>
        <v>0.1374517375</v>
      </c>
      <c r="CG55" s="44" t="s">
        <v>101</v>
      </c>
      <c r="CH55" s="45">
        <f>MIN(Gemma!$D32:$D34)</f>
        <v>0.07228975439</v>
      </c>
      <c r="CI55" s="45">
        <f>MIN(Gemma!$D35:$D37)</f>
        <v>0.05955847352</v>
      </c>
      <c r="CJ55" s="45">
        <f>MIN(Gemma!$E32:$E34)</f>
        <v>0.7436441183</v>
      </c>
      <c r="CK55" s="45">
        <f>MIN(Gemma!$E35:$E37)</f>
        <v>0.7481473684</v>
      </c>
      <c r="CL55" s="45">
        <f>MIN(Gemma!$F32:$F34)</f>
        <v>0.7182005644</v>
      </c>
      <c r="CM55" s="45">
        <f>MIN(Gemma!$F35:$F37)</f>
        <v>0.721924901</v>
      </c>
      <c r="CN55" s="45">
        <f>MIN(Gemma!$G32:$G34)</f>
        <v>0.7308490276</v>
      </c>
      <c r="CO55" s="45">
        <f>MIN(Gemma!$G35:$G37)</f>
        <v>0.7348023057</v>
      </c>
      <c r="CP55" s="45">
        <f>MIN(Gemma!$H32:$H34)</f>
        <v>0.4884726225</v>
      </c>
      <c r="CQ55" s="45">
        <f>MIN(Gemma!$H35:$H37)</f>
        <v>0.4790764791</v>
      </c>
      <c r="CR55" s="45">
        <f>MIN(Gemma!$I32:$I34)</f>
        <v>0.1486776269</v>
      </c>
      <c r="CS55" s="45">
        <f>MIN(Gemma!$I35:$I37)</f>
        <v>0.1401734104</v>
      </c>
    </row>
    <row r="56" ht="15.75" customHeight="1">
      <c r="A56" s="42" t="s">
        <v>102</v>
      </c>
      <c r="B56" s="43">
        <f>MIN(metricas_media!$D182:$D199)</f>
        <v>0.01876265275</v>
      </c>
      <c r="C56" s="43">
        <f>MIN(metricas_media!$D37:$D200)</f>
        <v>0</v>
      </c>
      <c r="D56" s="43">
        <f>MIN(metricas_media!$E182:$E199)</f>
        <v>0.7295830846</v>
      </c>
      <c r="E56" s="43">
        <f>MIN(metricas_media!$E37:$E200)</f>
        <v>0.6696248055</v>
      </c>
      <c r="F56" s="43">
        <f>MIN(metricas_media!$F182:$F199)</f>
        <v>0.7075185776</v>
      </c>
      <c r="G56" s="43">
        <f>MIN(metricas_media!$F37:$F200)</f>
        <v>0.6553096175</v>
      </c>
      <c r="H56" s="43">
        <f>MIN(metricas_media!$G182:$G199)</f>
        <v>0.7183814645</v>
      </c>
      <c r="I56" s="43">
        <f>MIN(metricas_media!$G37:$G200)</f>
        <v>0.6623898149</v>
      </c>
      <c r="J56" s="43">
        <f>MIN(metricas_media!$H182:$H199)</f>
        <v>0.364844904</v>
      </c>
      <c r="K56" s="43">
        <f>MIN(metricas_media!$H37:$H200)</f>
        <v>0.303630363</v>
      </c>
      <c r="L56" s="43">
        <f>MIN(metricas_media!$I182:$I199)</f>
        <v>0.07935076646</v>
      </c>
      <c r="M56" s="43">
        <f>MIN(metricas_media!$I37:$I200)</f>
        <v>0.05740884407</v>
      </c>
      <c r="O56" s="44" t="s">
        <v>102</v>
      </c>
      <c r="P56" s="45">
        <f>MIN(Qwen!$D2:$D4)</f>
        <v>0.03479850505</v>
      </c>
      <c r="Q56" s="45">
        <f>MIN(Qwen!$D5:$D7)</f>
        <v>0.01538703501</v>
      </c>
      <c r="R56" s="45">
        <f>MIN(Qwen!$E2:$E4)</f>
        <v>0.7520019412</v>
      </c>
      <c r="S56" s="45">
        <f>MIN(Qwen!$E5:$E7)</f>
        <v>0.6696248055</v>
      </c>
      <c r="T56" s="45">
        <f>MIN(Qwen!$F2:$F4)</f>
        <v>0.7410843372</v>
      </c>
      <c r="U56" s="45">
        <f>MIN(Qwen!$F5:$F7)</f>
        <v>0.6553096175</v>
      </c>
      <c r="V56" s="45">
        <f>MIN(Qwen!$G2:$G4)</f>
        <v>0.7465032339</v>
      </c>
      <c r="W56" s="45">
        <f>MIN(Qwen!$G5:$G7)</f>
        <v>0.6623898149</v>
      </c>
      <c r="X56" s="45">
        <f>MIN(Qwen!$H2:$H4)</f>
        <v>0.3905915895</v>
      </c>
      <c r="Y56" s="45">
        <f>MIN(Qwen!$H5:$H7)</f>
        <v>0.3211446741</v>
      </c>
      <c r="Z56" s="45">
        <f>MIN(Qwen!$I2:$I4)</f>
        <v>0.1184867951</v>
      </c>
      <c r="AA56" s="45">
        <f>MIN(Qwen!$I5:$I7)</f>
        <v>0.101910828</v>
      </c>
      <c r="AC56" s="44" t="s">
        <v>102</v>
      </c>
      <c r="AD56" s="45">
        <f>MIN(Qwen!$D8:$D10)</f>
        <v>0.01876265275</v>
      </c>
      <c r="AE56" s="45">
        <f>MIN(Qwen!$D11:$D13)</f>
        <v>0</v>
      </c>
      <c r="AF56" s="45">
        <f>MIN(Qwen!$E8:$E10)</f>
        <v>0.7295830846</v>
      </c>
      <c r="AG56" s="45">
        <f>MIN(Qwen!$E11:$E13)</f>
        <v>0.6503878832</v>
      </c>
      <c r="AH56" s="45">
        <f>MIN(Qwen!$F8:$F10)</f>
        <v>0.7075185776</v>
      </c>
      <c r="AI56" s="45">
        <f>MIN(Qwen!$F11:$F13)</f>
        <v>0.6301312447</v>
      </c>
      <c r="AJ56" s="45">
        <f>MIN(Qwen!$G8:$G10)</f>
        <v>0.7183814645</v>
      </c>
      <c r="AK56" s="45">
        <f>MIN(Qwen!$G11:$G13)</f>
        <v>0.6400993466</v>
      </c>
      <c r="AL56" s="45">
        <f>MIN(Qwen!$H8:$H10)</f>
        <v>0.364844904</v>
      </c>
      <c r="AM56" s="45">
        <f>MIN(Qwen!$H11:$H13)</f>
        <v>0.3076923077</v>
      </c>
      <c r="AN56" s="45">
        <f>MIN(Qwen!$I8:$I10)</f>
        <v>0.08532934132</v>
      </c>
      <c r="AO56" s="45">
        <f>MIN(Qwen!$I11:$I13)</f>
        <v>0.07787903894</v>
      </c>
      <c r="AQ56" s="44" t="s">
        <v>102</v>
      </c>
      <c r="AR56" s="45">
        <f>MIN(Qwen!$D14:$D16)</f>
        <v>0.04261617895</v>
      </c>
      <c r="AS56" s="45">
        <f>MIN(Qwen!$D17:$D19)</f>
        <v>0.01616586768</v>
      </c>
      <c r="AT56" s="45">
        <f>MIN(Qwen!$E14:$E16)</f>
        <v>0.7512557507</v>
      </c>
      <c r="AU56" s="45">
        <f>MIN(Qwen!$E17:$E19)</f>
        <v>0.6578599215</v>
      </c>
      <c r="AV56" s="45">
        <f>MIN(Qwen!$F14:$F16)</f>
        <v>0.7407039404</v>
      </c>
      <c r="AW56" s="45">
        <f>MIN(Qwen!$F17:$F19)</f>
        <v>0.6455150843</v>
      </c>
      <c r="AX56" s="45">
        <f>MIN(Qwen!$G14:$G16)</f>
        <v>0.745942533</v>
      </c>
      <c r="AY56" s="45">
        <f>MIN(Qwen!$G17:$G19)</f>
        <v>0.6516290307</v>
      </c>
      <c r="AZ56" s="45">
        <f>MIN(Qwen!$H14:$H16)</f>
        <v>0.3956386293</v>
      </c>
      <c r="BA56" s="45">
        <f>MIN(Qwen!$H17:$H19)</f>
        <v>0.3168831169</v>
      </c>
      <c r="BB56" s="45">
        <f>MIN(Qwen!$I14:$I16)</f>
        <v>0.104524181</v>
      </c>
      <c r="BC56" s="45">
        <f>MIN(Qwen!$I17:$I19)</f>
        <v>0.0763226366</v>
      </c>
      <c r="BE56" s="44" t="s">
        <v>102</v>
      </c>
      <c r="BF56" s="45">
        <f>MIN(Qwen!$D20:$D22)</f>
        <v>0.03882467408</v>
      </c>
      <c r="BG56" s="45">
        <f>MIN(Qwen!$D23:$D25)</f>
        <v>0.01838355494</v>
      </c>
      <c r="BH56" s="45">
        <f>MIN(Qwen!$E20:$E22)</f>
        <v>0.7329349518</v>
      </c>
      <c r="BI56" s="45">
        <f>MIN(Qwen!$E23:$E25)</f>
        <v>0.6626288891</v>
      </c>
      <c r="BJ56" s="45">
        <f>MIN(Qwen!$F20:$F22)</f>
        <v>0.7268922329</v>
      </c>
      <c r="BK56" s="45">
        <f>MIN(Qwen!$F23:$F25)</f>
        <v>0.6495995522</v>
      </c>
      <c r="BL56" s="45">
        <f>MIN(Qwen!$G20:$G22)</f>
        <v>0.7304394841</v>
      </c>
      <c r="BM56" s="45">
        <f>MIN(Qwen!$G23:$G25)</f>
        <v>0.6560495496</v>
      </c>
      <c r="BN56" s="45">
        <f>MIN(Qwen!$H20:$H22)</f>
        <v>0.394893617</v>
      </c>
      <c r="BO56" s="45">
        <f>MIN(Qwen!$H23:$H25)</f>
        <v>0.3417475728</v>
      </c>
      <c r="BP56" s="45">
        <f>MIN(Qwen!$I20:$I22)</f>
        <v>0.09334485739</v>
      </c>
      <c r="BQ56" s="45">
        <f>MIN(Qwen!$I23:$I25)</f>
        <v>0.09727626459</v>
      </c>
      <c r="BS56" s="44" t="s">
        <v>102</v>
      </c>
      <c r="BT56" s="45">
        <f>MIN(Qwen!$D26:$D28)</f>
        <v>0.04083918844</v>
      </c>
      <c r="BU56" s="45">
        <f>MIN(Qwen!$D29:$D31)</f>
        <v>0</v>
      </c>
      <c r="BV56" s="45">
        <f>MIN(Qwen!$E26:$E28)</f>
        <v>0.7356145382</v>
      </c>
      <c r="BW56" s="45">
        <f>MIN(Qwen!$E29:$E31)</f>
        <v>0.6608159542</v>
      </c>
      <c r="BX56" s="45">
        <f>MIN(Qwen!$F26:$F28)</f>
        <v>0.72486341</v>
      </c>
      <c r="BY56" s="45">
        <f>MIN(Qwen!$F29:$F31)</f>
        <v>0.6451398134</v>
      </c>
      <c r="BZ56" s="45">
        <f>MIN(Qwen!$G26:$G28)</f>
        <v>0.7313534617</v>
      </c>
      <c r="CA56" s="45">
        <f>MIN(Qwen!$G29:$G31)</f>
        <v>0.6528837681</v>
      </c>
      <c r="CB56" s="45">
        <f>MIN(Qwen!$H26:$H28)</f>
        <v>0.3924392439</v>
      </c>
      <c r="CC56" s="45">
        <f>MIN(Qwen!$H29:$H31)</f>
        <v>0.3564154786</v>
      </c>
      <c r="CD56" s="45">
        <f>MIN(Qwen!$I26:$I28)</f>
        <v>0.07935076646</v>
      </c>
      <c r="CE56" s="45">
        <f>MIN(Qwen!$I29:$I31)</f>
        <v>0.08367346939</v>
      </c>
      <c r="CG56" s="44" t="s">
        <v>102</v>
      </c>
      <c r="CH56" s="45">
        <f>MIN(Qwen!$D32:$D34)</f>
        <v>0.04075326844</v>
      </c>
      <c r="CI56" s="45">
        <f>MIN(Qwen!$D35:$D37)</f>
        <v>0.02872703405</v>
      </c>
      <c r="CJ56" s="45">
        <f>MIN(Qwen!$E32:$E34)</f>
        <v>0.7376173735</v>
      </c>
      <c r="CK56" s="45">
        <f>MIN(Qwen!$E35:$E37)</f>
        <v>0.6616009474</v>
      </c>
      <c r="CL56" s="45">
        <f>MIN(Qwen!$F32:$F34)</f>
        <v>0.7148326635</v>
      </c>
      <c r="CM56" s="45">
        <f>MIN(Qwen!$F35:$F37)</f>
        <v>0.6369695067</v>
      </c>
      <c r="CN56" s="45">
        <f>MIN(Qwen!$G32:$G34)</f>
        <v>0.7260463238</v>
      </c>
      <c r="CO56" s="45">
        <f>MIN(Qwen!$G35:$G37)</f>
        <v>0.6490516663</v>
      </c>
      <c r="CP56" s="45">
        <f>MIN(Qwen!$H32:$H34)</f>
        <v>0.425</v>
      </c>
      <c r="CQ56" s="45">
        <f>MIN(Qwen!$H35:$H37)</f>
        <v>0.3865546218</v>
      </c>
      <c r="CR56" s="45">
        <f>MIN(Qwen!$I32:$I34)</f>
        <v>0.1001669449</v>
      </c>
      <c r="CS56" s="45">
        <f>MIN(Qwen!$I35:$I37)</f>
        <v>0.1253507951</v>
      </c>
    </row>
    <row r="57" ht="15.75" customHeight="1">
      <c r="A57" s="42" t="s">
        <v>103</v>
      </c>
      <c r="B57" s="43">
        <f>MIN(metricas_media!$D74:$D91)</f>
        <v>0.03419047528</v>
      </c>
      <c r="C57" s="43">
        <f>MIN(metricas_media!$D92:$D109)</f>
        <v>0.01859970562</v>
      </c>
      <c r="D57" s="43">
        <f>MIN(metricas_media!$E74:$E91)</f>
        <v>0.7186017036</v>
      </c>
      <c r="E57" s="43">
        <f>MIN(metricas_media!$E92:$E109)</f>
        <v>0.7151515484</v>
      </c>
      <c r="F57" s="43">
        <f>MIN(metricas_media!$F74:$F91)</f>
        <v>0.6948766708</v>
      </c>
      <c r="G57" s="43">
        <f>MIN(metricas_media!$F92:$F109)</f>
        <v>0.6936314106</v>
      </c>
      <c r="H57" s="43">
        <f>MIN(metricas_media!$G74:$G91)</f>
        <v>0.7084497213</v>
      </c>
      <c r="I57" s="43">
        <f>MIN(metricas_media!$G92:$G109)</f>
        <v>0.7042270899</v>
      </c>
      <c r="J57" s="43">
        <f>MIN(metricas_media!$H74:$H91)</f>
        <v>0.3919388464</v>
      </c>
      <c r="K57" s="43">
        <f>MIN(metricas_media!$H92:$H109)</f>
        <v>0.4373702422</v>
      </c>
      <c r="L57" s="43">
        <f>MIN(metricas_media!$I74:$I91)</f>
        <v>0.1021394065</v>
      </c>
      <c r="M57" s="43">
        <f>MIN(metricas_media!$I92:$I109)</f>
        <v>0.1012658228</v>
      </c>
      <c r="O57" s="44" t="s">
        <v>103</v>
      </c>
      <c r="P57" s="45">
        <f>MIN(Llama!$D2:$D4)</f>
        <v>0.0429947546</v>
      </c>
      <c r="Q57" s="45">
        <f>MIN(Llama!$D5:$D7)</f>
        <v>0.04537308842</v>
      </c>
      <c r="R57" s="45">
        <f>MIN(Llama!$E2:$E4)</f>
        <v>0.742043376</v>
      </c>
      <c r="S57" s="45">
        <f>MIN(Llama!$E5:$E7)</f>
        <v>0.738850534</v>
      </c>
      <c r="T57" s="45">
        <f>MIN(Llama!$F2:$F4)</f>
        <v>0.7263549566</v>
      </c>
      <c r="U57" s="45">
        <f>MIN(Llama!$F5:$F7)</f>
        <v>0.7320837975</v>
      </c>
      <c r="V57" s="45">
        <f>MIN(Llama!$G2:$G4)</f>
        <v>0.7369704247</v>
      </c>
      <c r="W57" s="45">
        <f>MIN(Llama!$G5:$G7)</f>
        <v>0.7354515791</v>
      </c>
      <c r="X57" s="45">
        <f>MIN(Llama!$H2:$H4)</f>
        <v>0.4139784946</v>
      </c>
      <c r="Y57" s="45">
        <f>MIN(Llama!$H5:$H7)</f>
        <v>0.4645247657</v>
      </c>
      <c r="Z57" s="45">
        <f>MIN(Llama!$I2:$I4)</f>
        <v>0.1197846568</v>
      </c>
      <c r="AA57" s="45">
        <f>MIN(Llama!$I5:$I7)</f>
        <v>0.1309450278</v>
      </c>
      <c r="AC57" s="44" t="s">
        <v>103</v>
      </c>
      <c r="AD57" s="45">
        <f>MIN(Llama!$D8:$D10)</f>
        <v>0.03419047528</v>
      </c>
      <c r="AE57" s="45">
        <f>MIN(Llama!$D11:$D13)</f>
        <v>0.01859970562</v>
      </c>
      <c r="AF57" s="45">
        <f>MIN(Llama!$E8:$E10)</f>
        <v>0.7186017036</v>
      </c>
      <c r="AG57" s="45">
        <f>MIN(Llama!$E11:$E13)</f>
        <v>0.7151515484</v>
      </c>
      <c r="AH57" s="45">
        <f>MIN(Llama!$F8:$F10)</f>
        <v>0.6948766708</v>
      </c>
      <c r="AI57" s="45">
        <f>MIN(Llama!$F11:$F13)</f>
        <v>0.6936314106</v>
      </c>
      <c r="AJ57" s="45">
        <f>MIN(Llama!$G8:$G10)</f>
        <v>0.7084497213</v>
      </c>
      <c r="AK57" s="45">
        <f>MIN(Llama!$G11:$G13)</f>
        <v>0.7042270899</v>
      </c>
      <c r="AL57" s="45">
        <f>MIN(Llama!$H8:$H10)</f>
        <v>0.3919388464</v>
      </c>
      <c r="AM57" s="45">
        <f>MIN(Llama!$H11:$H13)</f>
        <v>0.4373702422</v>
      </c>
      <c r="AN57" s="45">
        <f>MIN(Llama!$I8:$I10)</f>
        <v>0.1021394065</v>
      </c>
      <c r="AO57" s="45">
        <f>MIN(Llama!$I11:$I13)</f>
        <v>0.1057324841</v>
      </c>
      <c r="AQ57" s="44" t="s">
        <v>103</v>
      </c>
      <c r="AR57" s="45">
        <f>MIN(Llama!$D14:$D16)</f>
        <v>0.05742840058</v>
      </c>
      <c r="AS57" s="45">
        <f>MIN(Llama!$D17:$D19)</f>
        <v>0.04804373164</v>
      </c>
      <c r="AT57" s="45">
        <f>MIN(Llama!$E14:$E16)</f>
        <v>0.759965539</v>
      </c>
      <c r="AU57" s="45">
        <f>MIN(Llama!$E17:$E19)</f>
        <v>0.7436800003</v>
      </c>
      <c r="AV57" s="45">
        <f>MIN(Llama!$F14:$F16)</f>
        <v>0.731466651</v>
      </c>
      <c r="AW57" s="45">
        <f>MIN(Llama!$F17:$F19)</f>
        <v>0.7297497392</v>
      </c>
      <c r="AX57" s="45">
        <f>MIN(Llama!$G14:$G16)</f>
        <v>0.7506480217</v>
      </c>
      <c r="AY57" s="45">
        <f>MIN(Llama!$G17:$G19)</f>
        <v>0.7366490364</v>
      </c>
      <c r="AZ57" s="45">
        <f>MIN(Llama!$H14:$H16)</f>
        <v>0.4548736462</v>
      </c>
      <c r="BA57" s="45">
        <f>MIN(Llama!$H17:$H19)</f>
        <v>0.4701653487</v>
      </c>
      <c r="BB57" s="45">
        <f>MIN(Llama!$I14:$I16)</f>
        <v>0.1289490651</v>
      </c>
      <c r="BC57" s="45">
        <f>MIN(Llama!$I17:$I19)</f>
        <v>0.126984127</v>
      </c>
      <c r="BE57" s="44" t="s">
        <v>103</v>
      </c>
      <c r="BF57" s="45">
        <f>MIN(Llama!$D20:$D22)</f>
        <v>0.05825608685</v>
      </c>
      <c r="BG57" s="45">
        <f>MIN(Llama!$D23:$D25)</f>
        <v>0.03254742231</v>
      </c>
      <c r="BH57" s="45">
        <f>MIN(Llama!$E20:$E22)</f>
        <v>0.7358219028</v>
      </c>
      <c r="BI57" s="45">
        <f>MIN(Llama!$E23:$E25)</f>
        <v>0.7246467471</v>
      </c>
      <c r="BJ57" s="45">
        <f>MIN(Llama!$F20:$F22)</f>
        <v>0.7197973132</v>
      </c>
      <c r="BK57" s="45">
        <f>MIN(Llama!$F23:$F25)</f>
        <v>0.7147942185</v>
      </c>
      <c r="BL57" s="45">
        <f>MIN(Llama!$G20:$G22)</f>
        <v>0.7314890027</v>
      </c>
      <c r="BM57" s="45">
        <f>MIN(Llama!$G23:$G25)</f>
        <v>0.7196867466</v>
      </c>
      <c r="BN57" s="45">
        <f>MIN(Llama!$H20:$H22)</f>
        <v>0.426984127</v>
      </c>
      <c r="BO57" s="45">
        <f>MIN(Llama!$H23:$H25)</f>
        <v>0.4407582938</v>
      </c>
      <c r="BP57" s="45">
        <f>MIN(Llama!$I20:$I22)</f>
        <v>0.1192145863</v>
      </c>
      <c r="BQ57" s="45">
        <f>MIN(Llama!$I23:$I25)</f>
        <v>0.1012658228</v>
      </c>
      <c r="BS57" s="44" t="s">
        <v>103</v>
      </c>
      <c r="BT57" s="45">
        <f>MIN(Llama!$D26:$D28)</f>
        <v>0.07628443956</v>
      </c>
      <c r="BU57" s="45">
        <f>MIN(Llama!$D29:$D31)</f>
        <v>0.04569050057</v>
      </c>
      <c r="BV57" s="45">
        <f>MIN(Llama!$E26:$E28)</f>
        <v>0.7460539341</v>
      </c>
      <c r="BW57" s="45">
        <f>MIN(Llama!$E29:$E31)</f>
        <v>0.7278763652</v>
      </c>
      <c r="BX57" s="45">
        <f>MIN(Llama!$F26:$F28)</f>
        <v>0.7054548264</v>
      </c>
      <c r="BY57" s="45">
        <f>MIN(Llama!$F29:$F31)</f>
        <v>0.7148278952</v>
      </c>
      <c r="BZ57" s="45">
        <f>MIN(Llama!$G26:$G28)</f>
        <v>0.7251865864</v>
      </c>
      <c r="CA57" s="45">
        <f>MIN(Llama!$G29:$G31)</f>
        <v>0.7212931514</v>
      </c>
      <c r="CB57" s="45">
        <f>MIN(Llama!$H26:$H28)</f>
        <v>0.4438943894</v>
      </c>
      <c r="CC57" s="45">
        <f>MIN(Llama!$H29:$H31)</f>
        <v>0.4698884758</v>
      </c>
      <c r="CD57" s="45">
        <f>MIN(Llama!$I26:$I28)</f>
        <v>0.1289256198</v>
      </c>
      <c r="CE57" s="45">
        <f>MIN(Llama!$I29:$I31)</f>
        <v>0.1217105263</v>
      </c>
      <c r="CG57" s="44" t="s">
        <v>103</v>
      </c>
      <c r="CH57" s="45">
        <f>MIN(Llama!$D32:$D34)</f>
        <v>0.04985821073</v>
      </c>
      <c r="CI57" s="45">
        <f>MIN(Llama!$D35:$D37)</f>
        <v>0.05343526201</v>
      </c>
      <c r="CJ57" s="45">
        <f>MIN(Llama!$E32:$E34)</f>
        <v>0.7478414774</v>
      </c>
      <c r="CK57" s="45">
        <f>MIN(Llama!$E35:$E37)</f>
        <v>0.7309181094</v>
      </c>
      <c r="CL57" s="45">
        <f>MIN(Llama!$F32:$F34)</f>
        <v>0.7155520916</v>
      </c>
      <c r="CM57" s="45">
        <f>MIN(Llama!$F35:$F37)</f>
        <v>0.7128132582</v>
      </c>
      <c r="CN57" s="45">
        <f>MIN(Llama!$G32:$G34)</f>
        <v>0.734233737</v>
      </c>
      <c r="CO57" s="45">
        <f>MIN(Llama!$G35:$G37)</f>
        <v>0.7217522264</v>
      </c>
      <c r="CP57" s="45">
        <f>MIN(Llama!$H32:$H34)</f>
        <v>0.4950038432</v>
      </c>
      <c r="CQ57" s="45">
        <f>MIN(Llama!$H35:$H37)</f>
        <v>0.5172149962</v>
      </c>
      <c r="CR57" s="45">
        <f>MIN(Llama!$I32:$I34)</f>
        <v>0.1449275362</v>
      </c>
      <c r="CS57" s="45">
        <f>MIN(Llama!$I35:$I37)</f>
        <v>0.1517241379</v>
      </c>
    </row>
    <row r="58" ht="15.75" customHeight="1">
      <c r="A58" s="42" t="s">
        <v>104</v>
      </c>
      <c r="B58" s="43">
        <f>MIN(metricas_media!$D110:$D127)</f>
        <v>0.01804527612</v>
      </c>
      <c r="C58" s="43">
        <f>MIN(metricas_media!$D128:$D145)</f>
        <v>0.02010420596</v>
      </c>
      <c r="D58" s="43">
        <f>MIN(metricas_media!$E110:$E127)</f>
        <v>0.7162473202</v>
      </c>
      <c r="E58" s="43">
        <f>MIN(metricas_media!$E128:$E145)</f>
        <v>0.7207369208</v>
      </c>
      <c r="F58" s="43">
        <f>MIN(metricas_media!$F110:$F127)</f>
        <v>0.6916202903</v>
      </c>
      <c r="G58" s="43">
        <f>MIN(metricas_media!$F128:$F145)</f>
        <v>0.7005500793</v>
      </c>
      <c r="H58" s="43">
        <f>MIN(metricas_media!$G110:$G127)</f>
        <v>0.7037184238</v>
      </c>
      <c r="I58" s="43">
        <f>MIN(metricas_media!$G128:$G145)</f>
        <v>0.7131513953</v>
      </c>
      <c r="J58" s="43">
        <f>MIN(metricas_media!$H110:$H127)</f>
        <v>0.3723008191</v>
      </c>
      <c r="K58" s="43">
        <f>MIN(metricas_media!$H128:$H145)</f>
        <v>0.3739591219</v>
      </c>
      <c r="L58" s="43">
        <f>MIN(metricas_media!$I110:$I127)</f>
        <v>0.09545115585</v>
      </c>
      <c r="M58" s="43">
        <f>MIN(metricas_media!$I128:$I145)</f>
        <v>0.08480565371</v>
      </c>
      <c r="O58" s="44" t="s">
        <v>104</v>
      </c>
      <c r="P58" s="45">
        <f>MIN(Mixtral!$D2:$D4)</f>
        <v>0.02943039724</v>
      </c>
      <c r="Q58" s="45">
        <f>MIN(Mixtral!$D5:$D7)</f>
        <v>0.02205700159</v>
      </c>
      <c r="R58" s="45">
        <f>MIN(Mixtral!$E2:$E4)</f>
        <v>0.7446160316</v>
      </c>
      <c r="S58" s="45">
        <f>MIN(Mixtral!$E5:$E7)</f>
        <v>0.7315559387</v>
      </c>
      <c r="T58" s="45">
        <f>MIN(Mixtral!$F2:$F4)</f>
        <v>0.7370531559</v>
      </c>
      <c r="U58" s="45">
        <f>MIN(Mixtral!$F5:$F7)</f>
        <v>0.7318429947</v>
      </c>
      <c r="V58" s="45">
        <f>MIN(Mixtral!$G2:$G4)</f>
        <v>0.7408152819</v>
      </c>
      <c r="W58" s="45">
        <f>MIN(Mixtral!$G5:$G7)</f>
        <v>0.7368074059</v>
      </c>
      <c r="X58" s="45">
        <f>MIN(Mixtral!$H2:$H4)</f>
        <v>0.3836206897</v>
      </c>
      <c r="Y58" s="45">
        <f>MIN(Mixtral!$H5:$H7)</f>
        <v>0.3897810219</v>
      </c>
      <c r="Z58" s="45">
        <f>MIN(Mixtral!$I2:$I4)</f>
        <v>0.1258549932</v>
      </c>
      <c r="AA58" s="45">
        <f>MIN(Mixtral!$I5:$I7)</f>
        <v>0.1140350877</v>
      </c>
      <c r="AC58" s="44" t="s">
        <v>104</v>
      </c>
      <c r="AD58" s="45">
        <f>MIN(Mixtral!$D8:$D10)</f>
        <v>0.01804527612</v>
      </c>
      <c r="AE58" s="45">
        <f>MIN(Mixtral!$D11:$D13)</f>
        <v>0.02010420596</v>
      </c>
      <c r="AF58" s="45">
        <f>MIN(Mixtral!$E8:$E10)</f>
        <v>0.7162473202</v>
      </c>
      <c r="AG58" s="45">
        <f>MIN(Mixtral!$E11:$E13)</f>
        <v>0.7230567336</v>
      </c>
      <c r="AH58" s="45">
        <f>MIN(Mixtral!$F8:$F10)</f>
        <v>0.6916202903</v>
      </c>
      <c r="AI58" s="45">
        <f>MIN(Mixtral!$F11:$F13)</f>
        <v>0.7005500793</v>
      </c>
      <c r="AJ58" s="45">
        <f>MIN(Mixtral!$G8:$G10)</f>
        <v>0.7037184238</v>
      </c>
      <c r="AK58" s="45">
        <f>MIN(Mixtral!$G11:$G13)</f>
        <v>0.7131513953</v>
      </c>
      <c r="AL58" s="45">
        <f>MIN(Mixtral!$H8:$H10)</f>
        <v>0.3723008191</v>
      </c>
      <c r="AM58" s="45">
        <f>MIN(Mixtral!$H11:$H13)</f>
        <v>0.3739591219</v>
      </c>
      <c r="AN58" s="45">
        <f>MIN(Mixtral!$I8:$I10)</f>
        <v>0.09545115585</v>
      </c>
      <c r="AO58" s="45">
        <f>MIN(Mixtral!$I11:$I13)</f>
        <v>0.08480565371</v>
      </c>
      <c r="AQ58" s="44" t="s">
        <v>104</v>
      </c>
      <c r="AR58" s="45">
        <f>MIN(Mixtral!$D14:$D16)</f>
        <v>0.04810271159</v>
      </c>
      <c r="AS58" s="45">
        <f>MIN(Mixtral!$D17:$D19)</f>
        <v>0.0465923317</v>
      </c>
      <c r="AT58" s="45">
        <f>MIN(Mixtral!$E14:$E16)</f>
        <v>0.7521125674</v>
      </c>
      <c r="AU58" s="45">
        <f>MIN(Mixtral!$E17:$E19)</f>
        <v>0.7414956093</v>
      </c>
      <c r="AV58" s="45">
        <f>MIN(Mixtral!$F14:$F16)</f>
        <v>0.7236256599</v>
      </c>
      <c r="AW58" s="45">
        <f>MIN(Mixtral!$F17:$F19)</f>
        <v>0.7283065319</v>
      </c>
      <c r="AX58" s="45">
        <f>MIN(Mixtral!$G14:$G16)</f>
        <v>0.7375941277</v>
      </c>
      <c r="AY58" s="45">
        <f>MIN(Mixtral!$G17:$G19)</f>
        <v>0.7400991917</v>
      </c>
      <c r="AZ58" s="45">
        <f>MIN(Mixtral!$H14:$H16)</f>
        <v>0.4328937161</v>
      </c>
      <c r="BA58" s="45">
        <f>MIN(Mixtral!$H17:$H19)</f>
        <v>0.4299339692</v>
      </c>
      <c r="BB58" s="45">
        <f>MIN(Mixtral!$I14:$I16)</f>
        <v>0.1245626312</v>
      </c>
      <c r="BC58" s="45">
        <f>MIN(Mixtral!$I17:$I19)</f>
        <v>0.1396032329</v>
      </c>
      <c r="BE58" s="44" t="s">
        <v>104</v>
      </c>
      <c r="BF58" s="45">
        <f>MIN(Mixtral!$D20:$D22)</f>
        <v>0.02568066639</v>
      </c>
      <c r="BG58" s="45">
        <f>MIN(Mixtral!$D23:$D25)</f>
        <v>0.02772380805</v>
      </c>
      <c r="BH58" s="45">
        <f>MIN(Mixtral!$E20:$E22)</f>
        <v>0.7410222888</v>
      </c>
      <c r="BI58" s="45">
        <f>MIN(Mixtral!$E23:$E25)</f>
        <v>0.7235622406</v>
      </c>
      <c r="BJ58" s="45">
        <f>MIN(Mixtral!$F20:$F22)</f>
        <v>0.7280344963</v>
      </c>
      <c r="BK58" s="45">
        <f>MIN(Mixtral!$F23:$F25)</f>
        <v>0.725004375</v>
      </c>
      <c r="BL58" s="45">
        <f>MIN(Mixtral!$G20:$G22)</f>
        <v>0.7344709635</v>
      </c>
      <c r="BM58" s="45">
        <f>MIN(Mixtral!$G23:$G25)</f>
        <v>0.7257900834</v>
      </c>
      <c r="BN58" s="45">
        <f>MIN(Mixtral!$H20:$H22)</f>
        <v>0.428802589</v>
      </c>
      <c r="BO58" s="45">
        <f>MIN(Mixtral!$H23:$H25)</f>
        <v>0.4010507881</v>
      </c>
      <c r="BP58" s="45">
        <f>MIN(Mixtral!$I20:$I22)</f>
        <v>0.1058282209</v>
      </c>
      <c r="BQ58" s="45">
        <f>MIN(Mixtral!$I23:$I25)</f>
        <v>0.09546925566</v>
      </c>
      <c r="BS58" s="44" t="s">
        <v>104</v>
      </c>
      <c r="BT58" s="45">
        <f>MIN(Mixtral!$D26:$D28)</f>
        <v>0.05990229666</v>
      </c>
      <c r="BU58" s="45">
        <f>MIN(Mixtral!$D29:$D31)</f>
        <v>0.04005013069</v>
      </c>
      <c r="BV58" s="45">
        <f>MIN(Mixtral!$E26:$E28)</f>
        <v>0.7435173988</v>
      </c>
      <c r="BW58" s="45">
        <f>MIN(Mixtral!$E29:$E31)</f>
        <v>0.7207369208</v>
      </c>
      <c r="BX58" s="45">
        <f>MIN(Mixtral!$F26:$F28)</f>
        <v>0.7264002562</v>
      </c>
      <c r="BY58" s="45">
        <f>MIN(Mixtral!$F29:$F31)</f>
        <v>0.7157224417</v>
      </c>
      <c r="BZ58" s="45">
        <f>MIN(Mixtral!$G26:$G28)</f>
        <v>0.7363295555</v>
      </c>
      <c r="CA58" s="45">
        <f>MIN(Mixtral!$G29:$G31)</f>
        <v>0.7226994634</v>
      </c>
      <c r="CB58" s="45">
        <f>MIN(Mixtral!$H26:$H28)</f>
        <v>0.4674085851</v>
      </c>
      <c r="CC58" s="45">
        <f>MIN(Mixtral!$H29:$H31)</f>
        <v>0.4151260504</v>
      </c>
      <c r="CD58" s="45">
        <f>MIN(Mixtral!$I26:$I28)</f>
        <v>0.1214165261</v>
      </c>
      <c r="CE58" s="45">
        <f>MIN(Mixtral!$I29:$I31)</f>
        <v>0.1043956044</v>
      </c>
      <c r="CG58" s="44" t="s">
        <v>104</v>
      </c>
      <c r="CH58" s="45">
        <f>MIN(Mixtral!$D32:$D34)</f>
        <v>0.03440392017</v>
      </c>
      <c r="CI58" s="45">
        <f>MIN(Mixtral!$D35:$D37)</f>
        <v>0.03850772938</v>
      </c>
      <c r="CJ58" s="45">
        <f>MIN(Mixtral!$E32:$E34)</f>
        <v>0.7452321649</v>
      </c>
      <c r="CK58" s="45">
        <f>MIN(Mixtral!$E35:$E37)</f>
        <v>0.7287964821</v>
      </c>
      <c r="CL58" s="45">
        <f>MIN(Mixtral!$F32:$F34)</f>
        <v>0.7106330395</v>
      </c>
      <c r="CM58" s="45">
        <f>MIN(Mixtral!$F35:$F37)</f>
        <v>0.7083609104</v>
      </c>
      <c r="CN58" s="45">
        <f>MIN(Mixtral!$G32:$G34)</f>
        <v>0.728058219</v>
      </c>
      <c r="CO58" s="45">
        <f>MIN(Mixtral!$G35:$G37)</f>
        <v>0.7210813761</v>
      </c>
      <c r="CP58" s="45">
        <f>MIN(Mixtral!$H32:$H34)</f>
        <v>0.4514522822</v>
      </c>
      <c r="CQ58" s="45">
        <f>MIN(Mixtral!$H35:$H37)</f>
        <v>0.4480135249</v>
      </c>
      <c r="CR58" s="45">
        <f>MIN(Mixtral!$I32:$I34)</f>
        <v>0.1313383209</v>
      </c>
      <c r="CS58" s="45">
        <f>MIN(Mixtral!$I35:$I37)</f>
        <v>0.1346906813</v>
      </c>
    </row>
    <row r="59" ht="15.75" customHeight="1">
      <c r="A59" s="42" t="s">
        <v>105</v>
      </c>
      <c r="B59" s="43">
        <f>MIN(metricas_media!$D146:$D163)</f>
        <v>0</v>
      </c>
      <c r="C59" s="43">
        <f>MIN(metricas_media!$D164:$D181)</f>
        <v>0.01074067209</v>
      </c>
      <c r="D59" s="43">
        <f>MIN(metricas_media!$E146:$E163)</f>
        <v>0.728174448</v>
      </c>
      <c r="E59" s="43">
        <f>MIN(metricas_media!$E164:$E181)</f>
        <v>0.7153716087</v>
      </c>
      <c r="F59" s="43">
        <f>MIN(metricas_media!$F146:$F163)</f>
        <v>0.6890741587</v>
      </c>
      <c r="G59" s="43">
        <f>MIN(metricas_media!$F164:$F181)</f>
        <v>0.6990510225</v>
      </c>
      <c r="H59" s="43">
        <f>MIN(metricas_media!$G146:$G163)</f>
        <v>0.7080849409</v>
      </c>
      <c r="I59" s="43">
        <f>MIN(metricas_media!$G164:$G181)</f>
        <v>0.7084285021</v>
      </c>
      <c r="J59" s="43">
        <f>MIN(metricas_media!$H146:$H163)</f>
        <v>0.303630363</v>
      </c>
      <c r="K59" s="43">
        <f>MIN(metricas_media!$H164:$H181)</f>
        <v>0.3225320271</v>
      </c>
      <c r="L59" s="43">
        <f>MIN(metricas_media!$I146:$I163)</f>
        <v>0.07949125596</v>
      </c>
      <c r="M59" s="43">
        <f>MIN(metricas_media!$I164:$I181)</f>
        <v>0.05740884407</v>
      </c>
      <c r="O59" s="44" t="s">
        <v>105</v>
      </c>
      <c r="P59" s="45">
        <f>MIN(Phi!$D2:$D4)</f>
        <v>0.01136478916</v>
      </c>
      <c r="Q59" s="45">
        <f>MIN(Phi!$D5:$D7)</f>
        <v>0.01400133874</v>
      </c>
      <c r="R59" s="45">
        <f>MIN(Phi!$E2:$E4)</f>
        <v>0.7512167692</v>
      </c>
      <c r="S59" s="45">
        <f>MIN(Phi!$E5:$E7)</f>
        <v>0.7289597988</v>
      </c>
      <c r="T59" s="45">
        <f>MIN(Phi!$F2:$F4)</f>
        <v>0.7305133343</v>
      </c>
      <c r="U59" s="45">
        <f>MIN(Phi!$F5:$F7)</f>
        <v>0.7289950252</v>
      </c>
      <c r="V59" s="45">
        <f>MIN(Phi!$G2:$G4)</f>
        <v>0.7407204509</v>
      </c>
      <c r="W59" s="45">
        <f>MIN(Phi!$G5:$G7)</f>
        <v>0.7289773822</v>
      </c>
      <c r="X59" s="45">
        <f>MIN(Phi!$H2:$H4)</f>
        <v>0.3108643933</v>
      </c>
      <c r="Y59" s="45">
        <f>MIN(Phi!$H5:$H7)</f>
        <v>0.3561046512</v>
      </c>
      <c r="Z59" s="45">
        <f>MIN(Phi!$I2:$I4)</f>
        <v>0.09640397858</v>
      </c>
      <c r="AA59" s="45">
        <f>MIN(Phi!$I5:$I7)</f>
        <v>0.09537366548</v>
      </c>
      <c r="AC59" s="44" t="s">
        <v>105</v>
      </c>
      <c r="AD59" s="45">
        <f>MIN(Phi!$D8:$D10)</f>
        <v>0.01166895278</v>
      </c>
      <c r="AE59" s="45">
        <f>MIN(Phi!$D11:$D13)</f>
        <v>0.01074067209</v>
      </c>
      <c r="AF59" s="45">
        <f>MIN(Phi!$E8:$E10)</f>
        <v>0.728174448</v>
      </c>
      <c r="AG59" s="45">
        <f>MIN(Phi!$E11:$E13)</f>
        <v>0.7153716087</v>
      </c>
      <c r="AH59" s="45">
        <f>MIN(Phi!$F8:$F10)</f>
        <v>0.6890741587</v>
      </c>
      <c r="AI59" s="45">
        <f>MIN(Phi!$F11:$F13)</f>
        <v>0.6990510225</v>
      </c>
      <c r="AJ59" s="45">
        <f>MIN(Phi!$G8:$G10)</f>
        <v>0.7080849409</v>
      </c>
      <c r="AK59" s="45">
        <f>MIN(Phi!$G11:$G13)</f>
        <v>0.7084285021</v>
      </c>
      <c r="AL59" s="45">
        <f>MIN(Phi!$H8:$H10)</f>
        <v>0.303630363</v>
      </c>
      <c r="AM59" s="45">
        <f>MIN(Phi!$H11:$H13)</f>
        <v>0.3225320271</v>
      </c>
      <c r="AN59" s="45">
        <f>MIN(Phi!$I8:$I10)</f>
        <v>0.07949125596</v>
      </c>
      <c r="AO59" s="45">
        <f>MIN(Phi!$I11:$I13)</f>
        <v>0.05740884407</v>
      </c>
      <c r="AQ59" s="44" t="s">
        <v>105</v>
      </c>
      <c r="AR59" s="45">
        <f>MIN(Phi!$D14:$D16)</f>
        <v>0.018002891</v>
      </c>
      <c r="AS59" s="45">
        <f>MIN(Phi!$D17:$D19)</f>
        <v>0.02170224641</v>
      </c>
      <c r="AT59" s="45">
        <f>MIN(Phi!$E14:$E16)</f>
        <v>0.7468331456</v>
      </c>
      <c r="AU59" s="45">
        <f>MIN(Phi!$E17:$E19)</f>
        <v>0.7329010367</v>
      </c>
      <c r="AV59" s="45">
        <f>MIN(Phi!$F14:$F16)</f>
        <v>0.7222006321</v>
      </c>
      <c r="AW59" s="45">
        <f>MIN(Phi!$F17:$F19)</f>
        <v>0.7258110046</v>
      </c>
      <c r="AX59" s="45">
        <f>MIN(Phi!$G14:$G16)</f>
        <v>0.7343104482</v>
      </c>
      <c r="AY59" s="45">
        <f>MIN(Phi!$G17:$G19)</f>
        <v>0.7308920026</v>
      </c>
      <c r="AZ59" s="45">
        <f>MIN(Phi!$H14:$H16)</f>
        <v>0.3281519862</v>
      </c>
      <c r="BA59" s="45">
        <f>MIN(Phi!$H17:$H19)</f>
        <v>0.3783346807</v>
      </c>
      <c r="BB59" s="45">
        <f>MIN(Phi!$I14:$I16)</f>
        <v>0.1029900332</v>
      </c>
      <c r="BC59" s="45">
        <f>MIN(Phi!$I17:$I19)</f>
        <v>0.08259109312</v>
      </c>
      <c r="BE59" s="44" t="s">
        <v>105</v>
      </c>
      <c r="BF59" s="45">
        <f>MIN(Phi!$D20:$D22)</f>
        <v>0</v>
      </c>
      <c r="BG59" s="45">
        <f>MIN(Phi!$D23:$D25)</f>
        <v>0.01618765588</v>
      </c>
      <c r="BH59" s="45">
        <f>MIN(Phi!$E20:$E22)</f>
        <v>0.7374020815</v>
      </c>
      <c r="BI59" s="45">
        <f>MIN(Phi!$E23:$E25)</f>
        <v>0.7277285457</v>
      </c>
      <c r="BJ59" s="45">
        <f>MIN(Phi!$F20:$F22)</f>
        <v>0.7134940624</v>
      </c>
      <c r="BK59" s="45">
        <f>MIN(Phi!$F23:$F25)</f>
        <v>0.724373579</v>
      </c>
      <c r="BL59" s="45">
        <f>MIN(Phi!$G20:$G22)</f>
        <v>0.7252510786</v>
      </c>
      <c r="BM59" s="45">
        <f>MIN(Phi!$G23:$G25)</f>
        <v>0.7271078825</v>
      </c>
      <c r="BN59" s="45">
        <f>MIN(Phi!$H20:$H22)</f>
        <v>0.3404255319</v>
      </c>
      <c r="BO59" s="45">
        <f>MIN(Phi!$H23:$H25)</f>
        <v>0.3741007194</v>
      </c>
      <c r="BP59" s="45">
        <f>MIN(Phi!$I20:$I22)</f>
        <v>0.08535402522</v>
      </c>
      <c r="BQ59" s="45">
        <f>MIN(Phi!$I23:$I25)</f>
        <v>0.06306306306</v>
      </c>
      <c r="BS59" s="44" t="s">
        <v>105</v>
      </c>
      <c r="BT59" s="45">
        <f>MIN(Phi!$D26:$D28)</f>
        <v>0.02588242522</v>
      </c>
      <c r="BU59" s="45">
        <f>MIN(Phi!$D29:$D31)</f>
        <v>0.02414338601</v>
      </c>
      <c r="BV59" s="45">
        <f>MIN(Phi!$E26:$E28)</f>
        <v>0.7386230826</v>
      </c>
      <c r="BW59" s="45">
        <f>MIN(Phi!$E29:$E31)</f>
        <v>0.7215042114</v>
      </c>
      <c r="BX59" s="45">
        <f>MIN(Phi!$F26:$F28)</f>
        <v>0.7118315101</v>
      </c>
      <c r="BY59" s="45">
        <f>MIN(Phi!$F29:$F31)</f>
        <v>0.7207000852</v>
      </c>
      <c r="BZ59" s="45">
        <f>MIN(Phi!$G26:$G28)</f>
        <v>0.7249798775</v>
      </c>
      <c r="CA59" s="45">
        <f>MIN(Phi!$G29:$G31)</f>
        <v>0.7211019397</v>
      </c>
      <c r="CB59" s="45">
        <f>MIN(Phi!$H26:$H28)</f>
        <v>0.3675126904</v>
      </c>
      <c r="CC59" s="45">
        <f>MIN(Phi!$H29:$H31)</f>
        <v>0.3854995579</v>
      </c>
      <c r="CD59" s="45">
        <f>MIN(Phi!$I26:$I28)</f>
        <v>0.08341810783</v>
      </c>
      <c r="CE59" s="45">
        <f>MIN(Phi!$I29:$I31)</f>
        <v>0.08857395926</v>
      </c>
      <c r="CG59" s="44" t="s">
        <v>105</v>
      </c>
      <c r="CH59" s="45">
        <f>MIN(Phi!$D32:$D34)</f>
        <v>0.02723029222</v>
      </c>
      <c r="CI59" s="45">
        <f>MIN(Phi!$D35:$D37)</f>
        <v>0.02625525365</v>
      </c>
      <c r="CJ59" s="45">
        <f>MIN(Phi!$E32:$E34)</f>
        <v>0.7391908765</v>
      </c>
      <c r="CK59" s="45">
        <f>MIN(Phi!$E35:$E37)</f>
        <v>0.7339168787</v>
      </c>
      <c r="CL59" s="45">
        <f>MIN(Phi!$F32:$F34)</f>
        <v>0.7132412791</v>
      </c>
      <c r="CM59" s="45">
        <f>MIN(Phi!$F35:$F37)</f>
        <v>0.7102849483</v>
      </c>
      <c r="CN59" s="45">
        <f>MIN(Phi!$G32:$G34)</f>
        <v>0.7259842753</v>
      </c>
      <c r="CO59" s="45">
        <f>MIN(Phi!$G35:$G37)</f>
        <v>0.7234012485</v>
      </c>
      <c r="CP59" s="45">
        <f>MIN(Phi!$H32:$H34)</f>
        <v>0.3798882682</v>
      </c>
      <c r="CQ59" s="45">
        <f>MIN(Phi!$H35:$H37)</f>
        <v>0.3989592368</v>
      </c>
      <c r="CR59" s="45">
        <f>MIN(Phi!$I32:$I34)</f>
        <v>0.1339285714</v>
      </c>
      <c r="CS59" s="45">
        <f>MIN(Phi!$I35:$I37)</f>
        <v>0.09556907037</v>
      </c>
    </row>
    <row r="60" ht="15.0" customHeight="1">
      <c r="A60" s="46" t="s">
        <v>106</v>
      </c>
      <c r="B60" s="47">
        <f t="shared" ref="B60:B64" si="85">SUM(B55, -C55)</f>
        <v>-0.01062303564</v>
      </c>
      <c r="C60" s="24"/>
      <c r="D60" s="47">
        <f t="shared" ref="D60:D64" si="86">SUM(D55, -E55)</f>
        <v>-0.008588552475</v>
      </c>
      <c r="E60" s="24"/>
      <c r="F60" s="47">
        <f t="shared" ref="F60:F64" si="87">SUM(F55, -G55)</f>
        <v>-0.006766557693</v>
      </c>
      <c r="G60" s="24"/>
      <c r="H60" s="47">
        <f t="shared" ref="H60:H64" si="88">SUM(H55, -I55)</f>
        <v>-0.007652282715</v>
      </c>
      <c r="I60" s="24"/>
      <c r="J60" s="47">
        <f t="shared" ref="J60:J64" si="89">SUM(J55, -K55)</f>
        <v>-0.02990587394</v>
      </c>
      <c r="K60" s="24"/>
      <c r="L60" s="47">
        <f t="shared" ref="L60:L64" si="90">SUM(L55, -M55)</f>
        <v>-0.01278836445</v>
      </c>
      <c r="M60" s="24"/>
      <c r="O60" s="48" t="s">
        <v>106</v>
      </c>
      <c r="P60" s="49">
        <f t="shared" ref="P60:P64" si="91">SUM(P55, -Q55)</f>
        <v>0.008594540481</v>
      </c>
      <c r="Q60" s="24"/>
      <c r="R60" s="49">
        <f t="shared" ref="R60:R64" si="92">SUM(R55, -S55)</f>
        <v>-0.01415753365</v>
      </c>
      <c r="S60" s="24"/>
      <c r="T60" s="49">
        <f t="shared" ref="T60:T64" si="93">SUM(T55, -U55)</f>
        <v>-0.01319181919</v>
      </c>
      <c r="U60" s="24"/>
      <c r="V60" s="49">
        <f t="shared" ref="V60:V64" si="94">SUM(V55, -W55)</f>
        <v>-0.01382857561</v>
      </c>
      <c r="W60" s="24"/>
      <c r="X60" s="49">
        <f t="shared" ref="X60:X64" si="95">SUM(X55, -Y55)</f>
        <v>-0.01205890629</v>
      </c>
      <c r="Y60" s="24"/>
      <c r="Z60" s="49">
        <f t="shared" ref="Z60:Z64" si="96">SUM(Z55, -AA55)</f>
        <v>0.001075598205</v>
      </c>
      <c r="AA60" s="24"/>
      <c r="AC60" s="48" t="s">
        <v>106</v>
      </c>
      <c r="AD60" s="49">
        <f t="shared" ref="AD60:AD64" si="97">SUM(AD55, -AE55)</f>
        <v>-0.007676482594</v>
      </c>
      <c r="AE60" s="24"/>
      <c r="AF60" s="49">
        <f t="shared" ref="AF60:AF64" si="98">SUM(AF55, -AG55)</f>
        <v>-0.008588552475</v>
      </c>
      <c r="AG60" s="24"/>
      <c r="AH60" s="49">
        <f t="shared" ref="AH60:AH64" si="99">SUM(AH55, -AI55)</f>
        <v>-0.006766557693</v>
      </c>
      <c r="AI60" s="24"/>
      <c r="AJ60" s="49">
        <f t="shared" ref="AJ60:AJ64" si="100">SUM(AJ55, -AK55)</f>
        <v>-0.007652282715</v>
      </c>
      <c r="AK60" s="24"/>
      <c r="AL60" s="49">
        <f t="shared" ref="AL60:AL64" si="101">SUM(AL55, -AM55)</f>
        <v>-0.02990587394</v>
      </c>
      <c r="AM60" s="24"/>
      <c r="AN60" s="49">
        <f t="shared" ref="AN60:AN64" si="102">SUM(AN55, -AO55)</f>
        <v>-0.01278836445</v>
      </c>
      <c r="AO60" s="24"/>
      <c r="AQ60" s="48" t="s">
        <v>106</v>
      </c>
      <c r="AR60" s="49">
        <f t="shared" ref="AR60:AR64" si="103">SUM(AR55, -AS55)</f>
        <v>-0.02355140377</v>
      </c>
      <c r="AS60" s="24"/>
      <c r="AT60" s="49">
        <f t="shared" ref="AT60:AT64" si="104">SUM(AT55, -AU55)</f>
        <v>-0.01261824369</v>
      </c>
      <c r="AU60" s="24"/>
      <c r="AV60" s="49">
        <f t="shared" ref="AV60:AV64" si="105">SUM(AV55, -AW55)</f>
        <v>-0.007450819016</v>
      </c>
      <c r="AW60" s="24"/>
      <c r="AX60" s="49">
        <f t="shared" ref="AX60:AX64" si="106">SUM(AX55, -AY55)</f>
        <v>-0.009989976883</v>
      </c>
      <c r="AY60" s="24"/>
      <c r="AZ60" s="49">
        <f t="shared" ref="AZ60:AZ64" si="107">SUM(AZ55, -BA55)</f>
        <v>-0.03880511329</v>
      </c>
      <c r="BA60" s="24"/>
      <c r="BB60" s="49">
        <f t="shared" ref="BB60:BB64" si="108">SUM(BB55, -BC55)</f>
        <v>-0.04057741379</v>
      </c>
      <c r="BC60" s="24"/>
      <c r="BE60" s="48" t="s">
        <v>106</v>
      </c>
      <c r="BF60" s="49">
        <f t="shared" ref="BF60:BF64" si="109">SUM(BF55, -BG55)</f>
        <v>-0.007675067052</v>
      </c>
      <c r="BG60" s="24"/>
      <c r="BH60" s="49">
        <f t="shared" ref="BH60:BH64" si="110">SUM(BH55, -BI55)</f>
        <v>-0.0006298422813</v>
      </c>
      <c r="BI60" s="24"/>
      <c r="BJ60" s="49">
        <f t="shared" ref="BJ60:BJ64" si="111">SUM(BJ55, -BK55)</f>
        <v>-0.0008261203766</v>
      </c>
      <c r="BK60" s="24"/>
      <c r="BL60" s="49">
        <f t="shared" ref="BL60:BL64" si="112">SUM(BL55, -BM55)</f>
        <v>-0.000728905201</v>
      </c>
      <c r="BM60" s="24"/>
      <c r="BN60" s="49">
        <f t="shared" ref="BN60:BN64" si="113">SUM(BN55, -BO55)</f>
        <v>-0.01064112155</v>
      </c>
      <c r="BO60" s="24"/>
      <c r="BP60" s="49">
        <f t="shared" ref="BP60:BP64" si="114">SUM(BP55, -BQ55)</f>
        <v>-0.007578697993</v>
      </c>
      <c r="BQ60" s="24"/>
      <c r="BS60" s="48" t="s">
        <v>106</v>
      </c>
      <c r="BT60" s="49">
        <f t="shared" ref="BT60:BT64" si="115">SUM(BT55, -BU55)</f>
        <v>-0.02714527617</v>
      </c>
      <c r="BU60" s="24"/>
      <c r="BV60" s="49">
        <f t="shared" ref="BV60:BV64" si="116">SUM(BV55, -BW55)</f>
        <v>-0.01768219471</v>
      </c>
      <c r="BW60" s="24"/>
      <c r="BX60" s="49">
        <f t="shared" ref="BX60:BX64" si="117">SUM(BX55, -BY55)</f>
        <v>-0.0175858736</v>
      </c>
      <c r="BY60" s="24"/>
      <c r="BZ60" s="49">
        <f t="shared" ref="BZ60:BZ64" si="118">SUM(BZ55, -CA55)</f>
        <v>-0.0185982585</v>
      </c>
      <c r="CA60" s="24"/>
      <c r="CB60" s="49">
        <f t="shared" ref="CB60:CB64" si="119">SUM(CB55, -CC55)</f>
        <v>-0.04254830531</v>
      </c>
      <c r="CC60" s="24"/>
      <c r="CD60" s="49">
        <f t="shared" ref="CD60:CD64" si="120">SUM(CD55, -CE55)</f>
        <v>-0.02905479089</v>
      </c>
      <c r="CE60" s="24"/>
      <c r="CG60" s="48" t="s">
        <v>106</v>
      </c>
      <c r="CH60" s="49">
        <f t="shared" ref="CH60:CH64" si="121">SUM(CH55, -CI55)</f>
        <v>0.01273128088</v>
      </c>
      <c r="CI60" s="24"/>
      <c r="CJ60" s="49">
        <f t="shared" ref="CJ60:CJ64" si="122">SUM(CJ55, -CK55)</f>
        <v>-0.004503250122</v>
      </c>
      <c r="CK60" s="24"/>
      <c r="CL60" s="49">
        <f t="shared" ref="CL60:CL64" si="123">SUM(CL55, -CM55)</f>
        <v>-0.003724336624</v>
      </c>
      <c r="CM60" s="24"/>
      <c r="CN60" s="49">
        <f t="shared" ref="CN60:CN64" si="124">SUM(CN55, -CO55)</f>
        <v>-0.003953278065</v>
      </c>
      <c r="CO60" s="24"/>
      <c r="CP60" s="49">
        <f t="shared" ref="CP60:CP64" si="125">SUM(CP55, -CQ55)</f>
        <v>0.009396143402</v>
      </c>
      <c r="CQ60" s="24"/>
      <c r="CR60" s="49">
        <f t="shared" ref="CR60:CR64" si="126">SUM(CR55, -CS55)</f>
        <v>0.008504216472</v>
      </c>
      <c r="CS60" s="24"/>
    </row>
    <row r="61" ht="15.75" customHeight="1">
      <c r="A61" s="36"/>
      <c r="B61" s="47">
        <f t="shared" si="85"/>
        <v>0.01876265275</v>
      </c>
      <c r="C61" s="24"/>
      <c r="D61" s="47">
        <f t="shared" si="86"/>
        <v>0.05995827913</v>
      </c>
      <c r="E61" s="24"/>
      <c r="F61" s="47">
        <f t="shared" si="87"/>
        <v>0.05220896006</v>
      </c>
      <c r="G61" s="24"/>
      <c r="H61" s="47">
        <f t="shared" si="88"/>
        <v>0.05599164963</v>
      </c>
      <c r="I61" s="24"/>
      <c r="J61" s="47">
        <f t="shared" si="89"/>
        <v>0.06121454095</v>
      </c>
      <c r="K61" s="24"/>
      <c r="L61" s="47">
        <f t="shared" si="90"/>
        <v>0.02194192239</v>
      </c>
      <c r="M61" s="24"/>
      <c r="O61" s="36"/>
      <c r="P61" s="49">
        <f t="shared" si="91"/>
        <v>0.01941147004</v>
      </c>
      <c r="Q61" s="24"/>
      <c r="R61" s="49">
        <f t="shared" si="92"/>
        <v>0.08237713575</v>
      </c>
      <c r="S61" s="24"/>
      <c r="T61" s="49">
        <f t="shared" si="93"/>
        <v>0.08577471972</v>
      </c>
      <c r="U61" s="24"/>
      <c r="V61" s="49">
        <f t="shared" si="94"/>
        <v>0.08411341906</v>
      </c>
      <c r="W61" s="24"/>
      <c r="X61" s="49">
        <f t="shared" si="95"/>
        <v>0.06944691537</v>
      </c>
      <c r="Y61" s="24"/>
      <c r="Z61" s="49">
        <f t="shared" si="96"/>
        <v>0.01657596712</v>
      </c>
      <c r="AA61" s="24"/>
      <c r="AC61" s="36"/>
      <c r="AD61" s="49">
        <f t="shared" si="97"/>
        <v>0.01876265275</v>
      </c>
      <c r="AE61" s="24"/>
      <c r="AF61" s="49">
        <f t="shared" si="98"/>
        <v>0.0791952014</v>
      </c>
      <c r="AG61" s="24"/>
      <c r="AH61" s="49">
        <f t="shared" si="99"/>
        <v>0.07738733292</v>
      </c>
      <c r="AI61" s="24"/>
      <c r="AJ61" s="49">
        <f t="shared" si="100"/>
        <v>0.07828211784</v>
      </c>
      <c r="AK61" s="24"/>
      <c r="AL61" s="49">
        <f t="shared" si="101"/>
        <v>0.0571525963</v>
      </c>
      <c r="AM61" s="24"/>
      <c r="AN61" s="49">
        <f t="shared" si="102"/>
        <v>0.007450302378</v>
      </c>
      <c r="AO61" s="24"/>
      <c r="AQ61" s="36"/>
      <c r="AR61" s="49">
        <f t="shared" si="103"/>
        <v>0.02645031127</v>
      </c>
      <c r="AS61" s="24"/>
      <c r="AT61" s="49">
        <f t="shared" si="104"/>
        <v>0.0933958292</v>
      </c>
      <c r="AU61" s="24"/>
      <c r="AV61" s="49">
        <f t="shared" si="105"/>
        <v>0.09518885612</v>
      </c>
      <c r="AW61" s="24"/>
      <c r="AX61" s="49">
        <f t="shared" si="106"/>
        <v>0.09431350231</v>
      </c>
      <c r="AY61" s="24"/>
      <c r="AZ61" s="49">
        <f t="shared" si="107"/>
        <v>0.0787555124</v>
      </c>
      <c r="BA61" s="24"/>
      <c r="BB61" s="49">
        <f t="shared" si="108"/>
        <v>0.02820154437</v>
      </c>
      <c r="BC61" s="24"/>
      <c r="BE61" s="36"/>
      <c r="BF61" s="49">
        <f t="shared" si="109"/>
        <v>0.02044111914</v>
      </c>
      <c r="BG61" s="24"/>
      <c r="BH61" s="49">
        <f t="shared" si="110"/>
        <v>0.0703060627</v>
      </c>
      <c r="BI61" s="24"/>
      <c r="BJ61" s="49">
        <f t="shared" si="111"/>
        <v>0.07729268074</v>
      </c>
      <c r="BK61" s="24"/>
      <c r="BL61" s="49">
        <f t="shared" si="112"/>
        <v>0.07438993454</v>
      </c>
      <c r="BM61" s="24"/>
      <c r="BN61" s="49">
        <f t="shared" si="113"/>
        <v>0.05314604421</v>
      </c>
      <c r="BO61" s="24"/>
      <c r="BP61" s="49">
        <f t="shared" si="114"/>
        <v>-0.003931407202</v>
      </c>
      <c r="BQ61" s="24"/>
      <c r="BS61" s="36"/>
      <c r="BT61" s="49">
        <f t="shared" si="115"/>
        <v>0.04083918844</v>
      </c>
      <c r="BU61" s="24"/>
      <c r="BV61" s="49">
        <f t="shared" si="116"/>
        <v>0.07479858398</v>
      </c>
      <c r="BW61" s="24"/>
      <c r="BX61" s="49">
        <f t="shared" si="117"/>
        <v>0.07972359657</v>
      </c>
      <c r="BY61" s="24"/>
      <c r="BZ61" s="49">
        <f t="shared" si="118"/>
        <v>0.07846969366</v>
      </c>
      <c r="CA61" s="24"/>
      <c r="CB61" s="49">
        <f t="shared" si="119"/>
        <v>0.03602376531</v>
      </c>
      <c r="CC61" s="24"/>
      <c r="CD61" s="49">
        <f t="shared" si="120"/>
        <v>-0.004322702931</v>
      </c>
      <c r="CE61" s="24"/>
      <c r="CG61" s="36"/>
      <c r="CH61" s="49">
        <f t="shared" si="121"/>
        <v>0.01202623439</v>
      </c>
      <c r="CI61" s="24"/>
      <c r="CJ61" s="49">
        <f t="shared" si="122"/>
        <v>0.07601642609</v>
      </c>
      <c r="CK61" s="24"/>
      <c r="CL61" s="49">
        <f t="shared" si="123"/>
        <v>0.0778631568</v>
      </c>
      <c r="CM61" s="24"/>
      <c r="CN61" s="49">
        <f t="shared" si="124"/>
        <v>0.07699465752</v>
      </c>
      <c r="CO61" s="24"/>
      <c r="CP61" s="49">
        <f t="shared" si="125"/>
        <v>0.03844537815</v>
      </c>
      <c r="CQ61" s="24"/>
      <c r="CR61" s="49">
        <f t="shared" si="126"/>
        <v>-0.02518385023</v>
      </c>
      <c r="CS61" s="24"/>
    </row>
    <row r="62" ht="15.75" customHeight="1">
      <c r="A62" s="36"/>
      <c r="B62" s="47">
        <f t="shared" si="85"/>
        <v>0.01559076966</v>
      </c>
      <c r="C62" s="24"/>
      <c r="D62" s="47">
        <f t="shared" si="86"/>
        <v>0.003450155258</v>
      </c>
      <c r="E62" s="24"/>
      <c r="F62" s="47">
        <f t="shared" si="87"/>
        <v>0.001245260239</v>
      </c>
      <c r="G62" s="24"/>
      <c r="H62" s="47">
        <f t="shared" si="88"/>
        <v>0.004222631454</v>
      </c>
      <c r="I62" s="24"/>
      <c r="J62" s="47">
        <f t="shared" si="89"/>
        <v>-0.04543139579</v>
      </c>
      <c r="K62" s="24"/>
      <c r="L62" s="47">
        <f t="shared" si="90"/>
        <v>0.0008735837024</v>
      </c>
      <c r="M62" s="24"/>
      <c r="O62" s="36"/>
      <c r="P62" s="49">
        <f t="shared" si="91"/>
        <v>-0.002378333818</v>
      </c>
      <c r="Q62" s="24"/>
      <c r="R62" s="49">
        <f t="shared" si="92"/>
        <v>0.003192842007</v>
      </c>
      <c r="S62" s="24"/>
      <c r="T62" s="49">
        <f t="shared" si="93"/>
        <v>-0.005728840828</v>
      </c>
      <c r="U62" s="24"/>
      <c r="V62" s="49">
        <f t="shared" si="94"/>
        <v>0.001518845558</v>
      </c>
      <c r="W62" s="24"/>
      <c r="X62" s="49">
        <f t="shared" si="95"/>
        <v>-0.05054627111</v>
      </c>
      <c r="Y62" s="24"/>
      <c r="Z62" s="49">
        <f t="shared" si="96"/>
        <v>-0.011160371</v>
      </c>
      <c r="AA62" s="24"/>
      <c r="AC62" s="36"/>
      <c r="AD62" s="49">
        <f t="shared" si="97"/>
        <v>0.01559076966</v>
      </c>
      <c r="AE62" s="24"/>
      <c r="AF62" s="49">
        <f t="shared" si="98"/>
        <v>0.003450155258</v>
      </c>
      <c r="AG62" s="24"/>
      <c r="AH62" s="49">
        <f t="shared" si="99"/>
        <v>0.001245260239</v>
      </c>
      <c r="AI62" s="24"/>
      <c r="AJ62" s="49">
        <f t="shared" si="100"/>
        <v>0.004222631454</v>
      </c>
      <c r="AK62" s="24"/>
      <c r="AL62" s="49">
        <f t="shared" si="101"/>
        <v>-0.04543139579</v>
      </c>
      <c r="AM62" s="24"/>
      <c r="AN62" s="49">
        <f t="shared" si="102"/>
        <v>-0.003593077589</v>
      </c>
      <c r="AO62" s="24"/>
      <c r="AQ62" s="36"/>
      <c r="AR62" s="49">
        <f t="shared" si="103"/>
        <v>0.009384668933</v>
      </c>
      <c r="AS62" s="24"/>
      <c r="AT62" s="49">
        <f t="shared" si="104"/>
        <v>0.01628553867</v>
      </c>
      <c r="AU62" s="24"/>
      <c r="AV62" s="49">
        <f t="shared" si="105"/>
        <v>0.001716911793</v>
      </c>
      <c r="AW62" s="24"/>
      <c r="AX62" s="49">
        <f t="shared" si="106"/>
        <v>0.01399898529</v>
      </c>
      <c r="AY62" s="24"/>
      <c r="AZ62" s="49">
        <f t="shared" si="107"/>
        <v>-0.01529170246</v>
      </c>
      <c r="BA62" s="24"/>
      <c r="BB62" s="49">
        <f t="shared" si="108"/>
        <v>0.001964938135</v>
      </c>
      <c r="BC62" s="24"/>
      <c r="BE62" s="36"/>
      <c r="BF62" s="49">
        <f t="shared" si="109"/>
        <v>0.02570866454</v>
      </c>
      <c r="BG62" s="24"/>
      <c r="BH62" s="49">
        <f t="shared" si="110"/>
        <v>0.01117515564</v>
      </c>
      <c r="BI62" s="24"/>
      <c r="BJ62" s="49">
        <f t="shared" si="111"/>
        <v>0.005003094673</v>
      </c>
      <c r="BK62" s="24"/>
      <c r="BL62" s="49">
        <f t="shared" si="112"/>
        <v>0.01180225611</v>
      </c>
      <c r="BM62" s="24"/>
      <c r="BN62" s="49">
        <f t="shared" si="113"/>
        <v>-0.01377416685</v>
      </c>
      <c r="BO62" s="24"/>
      <c r="BP62" s="49">
        <f t="shared" si="114"/>
        <v>0.01794876347</v>
      </c>
      <c r="BQ62" s="24"/>
      <c r="BS62" s="36"/>
      <c r="BT62" s="49">
        <f t="shared" si="115"/>
        <v>0.03059393899</v>
      </c>
      <c r="BU62" s="24"/>
      <c r="BV62" s="49">
        <f t="shared" si="116"/>
        <v>0.01817756891</v>
      </c>
      <c r="BW62" s="24"/>
      <c r="BX62" s="49">
        <f t="shared" si="117"/>
        <v>-0.00937306881</v>
      </c>
      <c r="BY62" s="24"/>
      <c r="BZ62" s="49">
        <f t="shared" si="118"/>
        <v>0.003893435001</v>
      </c>
      <c r="CA62" s="24"/>
      <c r="CB62" s="49">
        <f t="shared" si="119"/>
        <v>-0.0259940864</v>
      </c>
      <c r="CC62" s="24"/>
      <c r="CD62" s="49">
        <f t="shared" si="120"/>
        <v>0.007215093519</v>
      </c>
      <c r="CE62" s="24"/>
      <c r="CG62" s="36"/>
      <c r="CH62" s="49">
        <f t="shared" si="121"/>
        <v>-0.003577051274</v>
      </c>
      <c r="CI62" s="24"/>
      <c r="CJ62" s="49">
        <f t="shared" si="122"/>
        <v>0.01692336798</v>
      </c>
      <c r="CK62" s="24"/>
      <c r="CL62" s="49">
        <f t="shared" si="123"/>
        <v>0.002738833427</v>
      </c>
      <c r="CM62" s="24"/>
      <c r="CN62" s="49">
        <f t="shared" si="124"/>
        <v>0.01248151064</v>
      </c>
      <c r="CO62" s="24"/>
      <c r="CP62" s="49">
        <f t="shared" si="125"/>
        <v>-0.02221115298</v>
      </c>
      <c r="CQ62" s="24"/>
      <c r="CR62" s="49">
        <f t="shared" si="126"/>
        <v>-0.006796601699</v>
      </c>
      <c r="CS62" s="24"/>
    </row>
    <row r="63" ht="15.75" customHeight="1">
      <c r="A63" s="36"/>
      <c r="B63" s="47">
        <f t="shared" si="85"/>
        <v>-0.002058929844</v>
      </c>
      <c r="C63" s="24"/>
      <c r="D63" s="47">
        <f t="shared" si="86"/>
        <v>-0.004489600658</v>
      </c>
      <c r="E63" s="24"/>
      <c r="F63" s="47">
        <f t="shared" si="87"/>
        <v>-0.008929789066</v>
      </c>
      <c r="G63" s="24"/>
      <c r="H63" s="47">
        <f t="shared" si="88"/>
        <v>-0.009432971478</v>
      </c>
      <c r="I63" s="24"/>
      <c r="J63" s="47">
        <f t="shared" si="89"/>
        <v>-0.001658302816</v>
      </c>
      <c r="K63" s="24"/>
      <c r="L63" s="47">
        <f t="shared" si="90"/>
        <v>0.01064550214</v>
      </c>
      <c r="M63" s="24"/>
      <c r="O63" s="36"/>
      <c r="P63" s="49">
        <f t="shared" si="91"/>
        <v>0.007373395648</v>
      </c>
      <c r="Q63" s="24"/>
      <c r="R63" s="49">
        <f t="shared" si="92"/>
        <v>0.01306009293</v>
      </c>
      <c r="S63" s="24"/>
      <c r="T63" s="49">
        <f t="shared" si="93"/>
        <v>0.005210161209</v>
      </c>
      <c r="U63" s="24"/>
      <c r="V63" s="49">
        <f t="shared" si="94"/>
        <v>0.004007875919</v>
      </c>
      <c r="W63" s="24"/>
      <c r="X63" s="49">
        <f t="shared" si="95"/>
        <v>-0.006160332243</v>
      </c>
      <c r="Y63" s="24"/>
      <c r="Z63" s="49">
        <f t="shared" si="96"/>
        <v>0.01181990544</v>
      </c>
      <c r="AA63" s="24"/>
      <c r="AC63" s="36"/>
      <c r="AD63" s="49">
        <f t="shared" si="97"/>
        <v>-0.002058929844</v>
      </c>
      <c r="AE63" s="24"/>
      <c r="AF63" s="49">
        <f t="shared" si="98"/>
        <v>-0.006809413433</v>
      </c>
      <c r="AG63" s="24"/>
      <c r="AH63" s="49">
        <f t="shared" si="99"/>
        <v>-0.008929789066</v>
      </c>
      <c r="AI63" s="24"/>
      <c r="AJ63" s="49">
        <f t="shared" si="100"/>
        <v>-0.009432971478</v>
      </c>
      <c r="AK63" s="24"/>
      <c r="AL63" s="49">
        <f t="shared" si="101"/>
        <v>-0.001658302816</v>
      </c>
      <c r="AM63" s="24"/>
      <c r="AN63" s="49">
        <f t="shared" si="102"/>
        <v>0.01064550214</v>
      </c>
      <c r="AO63" s="24"/>
      <c r="AQ63" s="36"/>
      <c r="AR63" s="49">
        <f t="shared" si="103"/>
        <v>0.001510379889</v>
      </c>
      <c r="AS63" s="24"/>
      <c r="AT63" s="49">
        <f t="shared" si="104"/>
        <v>0.01061695814</v>
      </c>
      <c r="AU63" s="24"/>
      <c r="AV63" s="49">
        <f t="shared" si="105"/>
        <v>-0.004680871964</v>
      </c>
      <c r="AW63" s="24"/>
      <c r="AX63" s="49">
        <f t="shared" si="106"/>
        <v>-0.002505064011</v>
      </c>
      <c r="AY63" s="24"/>
      <c r="AZ63" s="49">
        <f t="shared" si="107"/>
        <v>0.002959746873</v>
      </c>
      <c r="BA63" s="24"/>
      <c r="BB63" s="49">
        <f t="shared" si="108"/>
        <v>-0.01504060171</v>
      </c>
      <c r="BC63" s="24"/>
      <c r="BE63" s="36"/>
      <c r="BF63" s="49">
        <f t="shared" si="109"/>
        <v>-0.002043141661</v>
      </c>
      <c r="BG63" s="24"/>
      <c r="BH63" s="49">
        <f t="shared" si="110"/>
        <v>0.0174600482</v>
      </c>
      <c r="BI63" s="24"/>
      <c r="BJ63" s="49">
        <f t="shared" si="111"/>
        <v>0.003030121326</v>
      </c>
      <c r="BK63" s="24"/>
      <c r="BL63" s="49">
        <f t="shared" si="112"/>
        <v>0.00868088007</v>
      </c>
      <c r="BM63" s="24"/>
      <c r="BN63" s="49">
        <f t="shared" si="113"/>
        <v>0.02775180091</v>
      </c>
      <c r="BO63" s="24"/>
      <c r="BP63" s="49">
        <f t="shared" si="114"/>
        <v>0.0103589652</v>
      </c>
      <c r="BQ63" s="24"/>
      <c r="BS63" s="36"/>
      <c r="BT63" s="49">
        <f t="shared" si="115"/>
        <v>0.01985216597</v>
      </c>
      <c r="BU63" s="24"/>
      <c r="BV63" s="49">
        <f t="shared" si="116"/>
        <v>0.022780478</v>
      </c>
      <c r="BW63" s="24"/>
      <c r="BX63" s="49">
        <f t="shared" si="117"/>
        <v>0.01067781448</v>
      </c>
      <c r="BY63" s="24"/>
      <c r="BZ63" s="49">
        <f t="shared" si="118"/>
        <v>0.01363009214</v>
      </c>
      <c r="CA63" s="24"/>
      <c r="CB63" s="49">
        <f t="shared" si="119"/>
        <v>0.05228253464</v>
      </c>
      <c r="CC63" s="24"/>
      <c r="CD63" s="49">
        <f t="shared" si="120"/>
        <v>0.01702092174</v>
      </c>
      <c r="CE63" s="24"/>
      <c r="CG63" s="36"/>
      <c r="CH63" s="49">
        <f t="shared" si="121"/>
        <v>-0.004103809203</v>
      </c>
      <c r="CI63" s="24"/>
      <c r="CJ63" s="49">
        <f t="shared" si="122"/>
        <v>0.01643568277</v>
      </c>
      <c r="CK63" s="24"/>
      <c r="CL63" s="49">
        <f t="shared" si="123"/>
        <v>0.002272129059</v>
      </c>
      <c r="CM63" s="24"/>
      <c r="CN63" s="49">
        <f t="shared" si="124"/>
        <v>0.00697684288</v>
      </c>
      <c r="CO63" s="24"/>
      <c r="CP63" s="49">
        <f t="shared" si="125"/>
        <v>0.003438757221</v>
      </c>
      <c r="CQ63" s="24"/>
      <c r="CR63" s="49">
        <f t="shared" si="126"/>
        <v>-0.00335236042</v>
      </c>
      <c r="CS63" s="24"/>
    </row>
    <row r="64" ht="15.75" customHeight="1">
      <c r="A64" s="37"/>
      <c r="B64" s="47">
        <f t="shared" si="85"/>
        <v>-0.01074067209</v>
      </c>
      <c r="C64" s="24"/>
      <c r="D64" s="47">
        <f t="shared" si="86"/>
        <v>0.01280283928</v>
      </c>
      <c r="E64" s="24"/>
      <c r="F64" s="47">
        <f t="shared" si="87"/>
        <v>-0.009976863861</v>
      </c>
      <c r="G64" s="24"/>
      <c r="H64" s="47">
        <f t="shared" si="88"/>
        <v>-0.0003435611725</v>
      </c>
      <c r="I64" s="24"/>
      <c r="J64" s="47">
        <f t="shared" si="89"/>
        <v>-0.01890166409</v>
      </c>
      <c r="K64" s="24"/>
      <c r="L64" s="47">
        <f t="shared" si="90"/>
        <v>0.0220824119</v>
      </c>
      <c r="M64" s="24"/>
      <c r="O64" s="37"/>
      <c r="P64" s="49">
        <f t="shared" si="91"/>
        <v>-0.002636549585</v>
      </c>
      <c r="Q64" s="24"/>
      <c r="R64" s="49">
        <f t="shared" si="92"/>
        <v>0.02225697041</v>
      </c>
      <c r="S64" s="24"/>
      <c r="T64" s="49">
        <f t="shared" si="93"/>
        <v>0.001518309116</v>
      </c>
      <c r="U64" s="24"/>
      <c r="V64" s="49">
        <f t="shared" si="94"/>
        <v>0.0117430687</v>
      </c>
      <c r="W64" s="24"/>
      <c r="X64" s="49">
        <f t="shared" si="95"/>
        <v>-0.04524025782</v>
      </c>
      <c r="Y64" s="24"/>
      <c r="Z64" s="49">
        <f t="shared" si="96"/>
        <v>0.001030313096</v>
      </c>
      <c r="AA64" s="24"/>
      <c r="AC64" s="37"/>
      <c r="AD64" s="49">
        <f t="shared" si="97"/>
        <v>0.0009282806936</v>
      </c>
      <c r="AE64" s="24"/>
      <c r="AF64" s="49">
        <f t="shared" si="98"/>
        <v>0.01280283928</v>
      </c>
      <c r="AG64" s="24"/>
      <c r="AH64" s="49">
        <f t="shared" si="99"/>
        <v>-0.009976863861</v>
      </c>
      <c r="AI64" s="24"/>
      <c r="AJ64" s="49">
        <f t="shared" si="100"/>
        <v>-0.0003435611725</v>
      </c>
      <c r="AK64" s="24"/>
      <c r="AL64" s="49">
        <f t="shared" si="101"/>
        <v>-0.01890166409</v>
      </c>
      <c r="AM64" s="24"/>
      <c r="AN64" s="49">
        <f t="shared" si="102"/>
        <v>0.0220824119</v>
      </c>
      <c r="AO64" s="24"/>
      <c r="AQ64" s="37"/>
      <c r="AR64" s="49">
        <f t="shared" si="103"/>
        <v>-0.003699355412</v>
      </c>
      <c r="AS64" s="24"/>
      <c r="AT64" s="49">
        <f t="shared" si="104"/>
        <v>0.01393210888</v>
      </c>
      <c r="AU64" s="24"/>
      <c r="AV64" s="49">
        <f t="shared" si="105"/>
        <v>-0.003610372543</v>
      </c>
      <c r="AW64" s="24"/>
      <c r="AX64" s="49">
        <f t="shared" si="106"/>
        <v>0.003418445587</v>
      </c>
      <c r="AY64" s="24"/>
      <c r="AZ64" s="49">
        <f t="shared" si="107"/>
        <v>-0.0501826945</v>
      </c>
      <c r="BA64" s="24"/>
      <c r="BB64" s="49">
        <f t="shared" si="108"/>
        <v>0.02039894011</v>
      </c>
      <c r="BC64" s="24"/>
      <c r="BE64" s="37"/>
      <c r="BF64" s="49">
        <f t="shared" si="109"/>
        <v>-0.01618765588</v>
      </c>
      <c r="BG64" s="24"/>
      <c r="BH64" s="49">
        <f t="shared" si="110"/>
        <v>0.009673535824</v>
      </c>
      <c r="BI64" s="24"/>
      <c r="BJ64" s="49">
        <f t="shared" si="111"/>
        <v>-0.0108795166</v>
      </c>
      <c r="BK64" s="24"/>
      <c r="BL64" s="49">
        <f t="shared" si="112"/>
        <v>-0.001856803894</v>
      </c>
      <c r="BM64" s="24"/>
      <c r="BN64" s="49">
        <f t="shared" si="113"/>
        <v>-0.03367518751</v>
      </c>
      <c r="BO64" s="24"/>
      <c r="BP64" s="49">
        <f t="shared" si="114"/>
        <v>0.02229096216</v>
      </c>
      <c r="BQ64" s="24"/>
      <c r="BS64" s="37"/>
      <c r="BT64" s="49">
        <f t="shared" si="115"/>
        <v>0.001739039209</v>
      </c>
      <c r="BU64" s="24"/>
      <c r="BV64" s="49">
        <f t="shared" si="116"/>
        <v>0.01711887121</v>
      </c>
      <c r="BW64" s="24"/>
      <c r="BX64" s="49">
        <f t="shared" si="117"/>
        <v>-0.008868575096</v>
      </c>
      <c r="BY64" s="24"/>
      <c r="BZ64" s="49">
        <f t="shared" si="118"/>
        <v>0.003877937794</v>
      </c>
      <c r="CA64" s="24"/>
      <c r="CB64" s="49">
        <f t="shared" si="119"/>
        <v>-0.01798686756</v>
      </c>
      <c r="CC64" s="24"/>
      <c r="CD64" s="49">
        <f t="shared" si="120"/>
        <v>-0.005155851423</v>
      </c>
      <c r="CE64" s="24"/>
      <c r="CG64" s="37"/>
      <c r="CH64" s="49">
        <f t="shared" si="121"/>
        <v>0.0009750385696</v>
      </c>
      <c r="CI64" s="24"/>
      <c r="CJ64" s="49">
        <f t="shared" si="122"/>
        <v>0.005273997784</v>
      </c>
      <c r="CK64" s="24"/>
      <c r="CL64" s="49">
        <f t="shared" si="123"/>
        <v>0.002956330776</v>
      </c>
      <c r="CM64" s="24"/>
      <c r="CN64" s="49">
        <f t="shared" si="124"/>
        <v>0.002583026886</v>
      </c>
      <c r="CO64" s="24"/>
      <c r="CP64" s="49">
        <f t="shared" si="125"/>
        <v>-0.01907096862</v>
      </c>
      <c r="CQ64" s="24"/>
      <c r="CR64" s="49">
        <f t="shared" si="126"/>
        <v>0.03835950105</v>
      </c>
      <c r="CS64" s="24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</row>
    <row r="66" ht="15.75" customHeight="1">
      <c r="A66" s="22"/>
      <c r="B66" s="38" t="s">
        <v>9</v>
      </c>
      <c r="C66" s="24"/>
      <c r="D66" s="38" t="s">
        <v>10</v>
      </c>
      <c r="E66" s="24"/>
      <c r="F66" s="38" t="s">
        <v>11</v>
      </c>
      <c r="G66" s="24"/>
      <c r="H66" s="38" t="s">
        <v>12</v>
      </c>
      <c r="I66" s="24"/>
      <c r="J66" s="38" t="s">
        <v>13</v>
      </c>
      <c r="K66" s="24"/>
      <c r="L66" s="38" t="s">
        <v>14</v>
      </c>
      <c r="M66" s="24"/>
      <c r="P66" s="39" t="s">
        <v>9</v>
      </c>
      <c r="Q66" s="24"/>
      <c r="R66" s="39" t="s">
        <v>10</v>
      </c>
      <c r="S66" s="24"/>
      <c r="T66" s="39" t="s">
        <v>11</v>
      </c>
      <c r="U66" s="24"/>
      <c r="V66" s="39" t="s">
        <v>12</v>
      </c>
      <c r="W66" s="24"/>
      <c r="X66" s="39" t="s">
        <v>13</v>
      </c>
      <c r="Y66" s="24"/>
      <c r="Z66" s="39" t="s">
        <v>14</v>
      </c>
      <c r="AA66" s="24"/>
      <c r="AD66" s="39" t="s">
        <v>9</v>
      </c>
      <c r="AE66" s="24"/>
      <c r="AF66" s="39" t="s">
        <v>10</v>
      </c>
      <c r="AG66" s="24"/>
      <c r="AH66" s="39" t="s">
        <v>11</v>
      </c>
      <c r="AI66" s="24"/>
      <c r="AJ66" s="39" t="s">
        <v>12</v>
      </c>
      <c r="AK66" s="24"/>
      <c r="AL66" s="39" t="s">
        <v>13</v>
      </c>
      <c r="AM66" s="24"/>
      <c r="AN66" s="39" t="s">
        <v>14</v>
      </c>
      <c r="AO66" s="24"/>
      <c r="AR66" s="39" t="s">
        <v>9</v>
      </c>
      <c r="AS66" s="24"/>
      <c r="AT66" s="39" t="s">
        <v>10</v>
      </c>
      <c r="AU66" s="24"/>
      <c r="AV66" s="39" t="s">
        <v>11</v>
      </c>
      <c r="AW66" s="24"/>
      <c r="AX66" s="39" t="s">
        <v>12</v>
      </c>
      <c r="AY66" s="24"/>
      <c r="AZ66" s="39" t="s">
        <v>13</v>
      </c>
      <c r="BA66" s="24"/>
      <c r="BB66" s="39" t="s">
        <v>14</v>
      </c>
      <c r="BC66" s="24"/>
      <c r="BF66" s="39" t="s">
        <v>9</v>
      </c>
      <c r="BG66" s="24"/>
      <c r="BH66" s="39" t="s">
        <v>10</v>
      </c>
      <c r="BI66" s="24"/>
      <c r="BJ66" s="39" t="s">
        <v>11</v>
      </c>
      <c r="BK66" s="24"/>
      <c r="BL66" s="39" t="s">
        <v>12</v>
      </c>
      <c r="BM66" s="24"/>
      <c r="BN66" s="39" t="s">
        <v>13</v>
      </c>
      <c r="BO66" s="24"/>
      <c r="BP66" s="39" t="s">
        <v>14</v>
      </c>
      <c r="BQ66" s="24"/>
      <c r="BT66" s="39" t="s">
        <v>9</v>
      </c>
      <c r="BU66" s="24"/>
      <c r="BV66" s="39" t="s">
        <v>10</v>
      </c>
      <c r="BW66" s="24"/>
      <c r="BX66" s="39" t="s">
        <v>11</v>
      </c>
      <c r="BY66" s="24"/>
      <c r="BZ66" s="39" t="s">
        <v>12</v>
      </c>
      <c r="CA66" s="24"/>
      <c r="CB66" s="39" t="s">
        <v>13</v>
      </c>
      <c r="CC66" s="24"/>
      <c r="CD66" s="39" t="s">
        <v>14</v>
      </c>
      <c r="CE66" s="24"/>
      <c r="CH66" s="39" t="s">
        <v>9</v>
      </c>
      <c r="CI66" s="24"/>
      <c r="CJ66" s="39" t="s">
        <v>10</v>
      </c>
      <c r="CK66" s="24"/>
      <c r="CL66" s="39" t="s">
        <v>11</v>
      </c>
      <c r="CM66" s="24"/>
      <c r="CN66" s="39" t="s">
        <v>12</v>
      </c>
      <c r="CO66" s="24"/>
      <c r="CP66" s="39" t="s">
        <v>13</v>
      </c>
      <c r="CQ66" s="24"/>
      <c r="CR66" s="39" t="s">
        <v>14</v>
      </c>
      <c r="CS66" s="24"/>
    </row>
    <row r="67" ht="15.75" customHeight="1">
      <c r="A67" s="22"/>
      <c r="B67" s="40" t="s">
        <v>99</v>
      </c>
      <c r="C67" s="40" t="s">
        <v>100</v>
      </c>
      <c r="D67" s="40" t="s">
        <v>99</v>
      </c>
      <c r="E67" s="40" t="s">
        <v>100</v>
      </c>
      <c r="F67" s="40" t="s">
        <v>99</v>
      </c>
      <c r="G67" s="40" t="s">
        <v>100</v>
      </c>
      <c r="H67" s="40" t="s">
        <v>99</v>
      </c>
      <c r="I67" s="40" t="s">
        <v>100</v>
      </c>
      <c r="J67" s="40" t="s">
        <v>99</v>
      </c>
      <c r="K67" s="40" t="s">
        <v>100</v>
      </c>
      <c r="L67" s="40" t="s">
        <v>99</v>
      </c>
      <c r="M67" s="40" t="s">
        <v>100</v>
      </c>
      <c r="P67" s="41" t="s">
        <v>99</v>
      </c>
      <c r="Q67" s="41" t="s">
        <v>100</v>
      </c>
      <c r="R67" s="41" t="s">
        <v>99</v>
      </c>
      <c r="S67" s="41" t="s">
        <v>100</v>
      </c>
      <c r="T67" s="41" t="s">
        <v>99</v>
      </c>
      <c r="U67" s="41" t="s">
        <v>100</v>
      </c>
      <c r="V67" s="41" t="s">
        <v>99</v>
      </c>
      <c r="W67" s="41" t="s">
        <v>100</v>
      </c>
      <c r="X67" s="41" t="s">
        <v>99</v>
      </c>
      <c r="Y67" s="41" t="s">
        <v>100</v>
      </c>
      <c r="Z67" s="41" t="s">
        <v>99</v>
      </c>
      <c r="AA67" s="41" t="s">
        <v>100</v>
      </c>
      <c r="AD67" s="41" t="s">
        <v>99</v>
      </c>
      <c r="AE67" s="41" t="s">
        <v>100</v>
      </c>
      <c r="AF67" s="41" t="s">
        <v>99</v>
      </c>
      <c r="AG67" s="41" t="s">
        <v>100</v>
      </c>
      <c r="AH67" s="41" t="s">
        <v>99</v>
      </c>
      <c r="AI67" s="41" t="s">
        <v>100</v>
      </c>
      <c r="AJ67" s="41" t="s">
        <v>99</v>
      </c>
      <c r="AK67" s="41" t="s">
        <v>100</v>
      </c>
      <c r="AL67" s="41" t="s">
        <v>99</v>
      </c>
      <c r="AM67" s="41" t="s">
        <v>100</v>
      </c>
      <c r="AN67" s="41" t="s">
        <v>99</v>
      </c>
      <c r="AO67" s="41" t="s">
        <v>100</v>
      </c>
      <c r="AR67" s="41" t="s">
        <v>99</v>
      </c>
      <c r="AS67" s="41" t="s">
        <v>100</v>
      </c>
      <c r="AT67" s="41" t="s">
        <v>99</v>
      </c>
      <c r="AU67" s="41" t="s">
        <v>100</v>
      </c>
      <c r="AV67" s="41" t="s">
        <v>99</v>
      </c>
      <c r="AW67" s="41" t="s">
        <v>100</v>
      </c>
      <c r="AX67" s="41" t="s">
        <v>99</v>
      </c>
      <c r="AY67" s="41" t="s">
        <v>100</v>
      </c>
      <c r="AZ67" s="41" t="s">
        <v>99</v>
      </c>
      <c r="BA67" s="41" t="s">
        <v>100</v>
      </c>
      <c r="BB67" s="41" t="s">
        <v>99</v>
      </c>
      <c r="BC67" s="41" t="s">
        <v>100</v>
      </c>
      <c r="BF67" s="41" t="s">
        <v>99</v>
      </c>
      <c r="BG67" s="41" t="s">
        <v>100</v>
      </c>
      <c r="BH67" s="41" t="s">
        <v>99</v>
      </c>
      <c r="BI67" s="41" t="s">
        <v>100</v>
      </c>
      <c r="BJ67" s="41" t="s">
        <v>99</v>
      </c>
      <c r="BK67" s="41" t="s">
        <v>100</v>
      </c>
      <c r="BL67" s="41" t="s">
        <v>99</v>
      </c>
      <c r="BM67" s="41" t="s">
        <v>100</v>
      </c>
      <c r="BN67" s="41" t="s">
        <v>99</v>
      </c>
      <c r="BO67" s="41" t="s">
        <v>100</v>
      </c>
      <c r="BP67" s="41" t="s">
        <v>99</v>
      </c>
      <c r="BQ67" s="41" t="s">
        <v>100</v>
      </c>
      <c r="BT67" s="41" t="s">
        <v>99</v>
      </c>
      <c r="BU67" s="41" t="s">
        <v>100</v>
      </c>
      <c r="BV67" s="41" t="s">
        <v>99</v>
      </c>
      <c r="BW67" s="41" t="s">
        <v>100</v>
      </c>
      <c r="BX67" s="41" t="s">
        <v>99</v>
      </c>
      <c r="BY67" s="41" t="s">
        <v>100</v>
      </c>
      <c r="BZ67" s="41" t="s">
        <v>99</v>
      </c>
      <c r="CA67" s="41" t="s">
        <v>100</v>
      </c>
      <c r="CB67" s="41" t="s">
        <v>99</v>
      </c>
      <c r="CC67" s="41" t="s">
        <v>100</v>
      </c>
      <c r="CD67" s="41" t="s">
        <v>99</v>
      </c>
      <c r="CE67" s="41" t="s">
        <v>100</v>
      </c>
      <c r="CH67" s="41" t="s">
        <v>99</v>
      </c>
      <c r="CI67" s="41" t="s">
        <v>100</v>
      </c>
      <c r="CJ67" s="41" t="s">
        <v>99</v>
      </c>
      <c r="CK67" s="41" t="s">
        <v>100</v>
      </c>
      <c r="CL67" s="41" t="s">
        <v>99</v>
      </c>
      <c r="CM67" s="41" t="s">
        <v>100</v>
      </c>
      <c r="CN67" s="41" t="s">
        <v>99</v>
      </c>
      <c r="CO67" s="41" t="s">
        <v>100</v>
      </c>
      <c r="CP67" s="41" t="s">
        <v>99</v>
      </c>
      <c r="CQ67" s="41" t="s">
        <v>100</v>
      </c>
      <c r="CR67" s="41" t="s">
        <v>99</v>
      </c>
      <c r="CS67" s="41" t="s">
        <v>100</v>
      </c>
    </row>
    <row r="68" ht="15.75" customHeight="1">
      <c r="A68" s="42" t="s">
        <v>101</v>
      </c>
      <c r="B68" s="43">
        <f>MIN(metricas_media!$J20:$J37)</f>
        <v>0.1728395062</v>
      </c>
      <c r="C68" s="43">
        <f>MIN(metricas_media!$J38:$J55)</f>
        <v>0.1913161465</v>
      </c>
      <c r="D68" s="43">
        <f>MIN(metricas_media!$K20:$K37)</f>
        <v>0.254259502</v>
      </c>
      <c r="E68" s="43">
        <f>MIN(metricas_media!$K38:$K55)</f>
        <v>0.2550881954</v>
      </c>
      <c r="F68" s="43">
        <f>MIN(metricas_media!$L20:$L37)</f>
        <v>0</v>
      </c>
      <c r="G68" s="43">
        <f>MIN(metricas_media!$L38:$L55)</f>
        <v>0</v>
      </c>
      <c r="H68" s="43">
        <f>MIN(metricas_media!$M20:$M37)</f>
        <v>0</v>
      </c>
      <c r="I68" s="43">
        <f>MIN(metricas_media!$M38:$M55)</f>
        <v>0</v>
      </c>
      <c r="J68" s="43">
        <f>MIN(metricas_media!$N20:$N37)</f>
        <v>0.9999999404</v>
      </c>
      <c r="K68" s="43">
        <f>MIN(metricas_media!$N38:$N55)</f>
        <v>0.9999999404</v>
      </c>
      <c r="L68" s="43">
        <f>MIN(metricas_media!$O20:$O37)</f>
        <v>0.5545380712</v>
      </c>
      <c r="M68" s="43">
        <f>MIN(metricas_media!$O38:$O55)</f>
        <v>0.5545380712</v>
      </c>
      <c r="O68" s="44" t="s">
        <v>101</v>
      </c>
      <c r="P68" s="45">
        <f>MIN(Gemma!$J2:$J4)</f>
        <v>0.1752380952</v>
      </c>
      <c r="Q68" s="45">
        <f>MIN(Gemma!$J5:$J7)</f>
        <v>0.1982928431</v>
      </c>
      <c r="R68" s="45">
        <f>MIN(Gemma!$K2:$K4)</f>
        <v>0.2679365079</v>
      </c>
      <c r="S68" s="45">
        <f>MIN(Gemma!$K5:$K7)</f>
        <v>0.2611464968</v>
      </c>
      <c r="T68" s="45">
        <f>MIN(Gemma!$L2:$L4)</f>
        <v>0</v>
      </c>
      <c r="U68" s="45">
        <f>MIN(Gemma!$L5:$L7)</f>
        <v>0</v>
      </c>
      <c r="V68" s="45">
        <f>MIN(Gemma!$M2:$M4)</f>
        <v>0</v>
      </c>
      <c r="W68" s="45">
        <f>MIN(Gemma!$M5:$M7)</f>
        <v>0</v>
      </c>
      <c r="X68" s="45">
        <f>MIN(Gemma!$N2:$N4)</f>
        <v>0.9999999404</v>
      </c>
      <c r="Y68" s="45">
        <f>MIN(Gemma!$N5:$N7)</f>
        <v>0.9999999404</v>
      </c>
      <c r="Z68" s="45">
        <f>MIN(Gemma!$O2:$O4)</f>
        <v>0.8271334767</v>
      </c>
      <c r="AA68" s="45">
        <f>MIN(Gemma!$O5:$O7)</f>
        <v>0.8271334767</v>
      </c>
      <c r="AC68" s="44" t="s">
        <v>101</v>
      </c>
      <c r="AD68" s="45">
        <f>MIN(Gemma!$J8:$J10)</f>
        <v>0.1728395062</v>
      </c>
      <c r="AE68" s="45">
        <f>MIN(Gemma!$J11:$J13)</f>
        <v>0.1913161465</v>
      </c>
      <c r="AF68" s="45">
        <f>MIN(Gemma!$K8:$K10)</f>
        <v>0.254259502</v>
      </c>
      <c r="AG68" s="45">
        <f>MIN(Gemma!$K11:$K13)</f>
        <v>0.2550881954</v>
      </c>
      <c r="AH68" s="45">
        <f>MIN(Gemma!$L8:$L10)</f>
        <v>0</v>
      </c>
      <c r="AI68" s="45">
        <f>MIN(Gemma!$L11:$L13)</f>
        <v>0</v>
      </c>
      <c r="AJ68" s="45">
        <f>MIN(Gemma!$M8:$M10)</f>
        <v>0</v>
      </c>
      <c r="AK68" s="45">
        <f>MIN(Gemma!$M11:$M13)</f>
        <v>0</v>
      </c>
      <c r="AL68" s="45">
        <f>MIN(Gemma!$N8:$N10)</f>
        <v>0.9999999404</v>
      </c>
      <c r="AM68" s="45">
        <f>MIN(Gemma!$N11:$N13)</f>
        <v>0.9999999404</v>
      </c>
      <c r="AN68" s="45">
        <f>MIN(Gemma!$O8:$O10)</f>
        <v>0.5545380712</v>
      </c>
      <c r="AO68" s="45">
        <f>MIN(Gemma!$O11:$O13)</f>
        <v>0.5545380712</v>
      </c>
      <c r="AQ68" s="44" t="s">
        <v>101</v>
      </c>
      <c r="AR68" s="45">
        <f>MIN(Gemma!$J14:$J16)</f>
        <v>0.1912457912</v>
      </c>
      <c r="AS68" s="45">
        <f>MIN(Gemma!$J17:$J19)</f>
        <v>0.2154929577</v>
      </c>
      <c r="AT68" s="45">
        <f>MIN(Gemma!$K14:$K16)</f>
        <v>0.2626262626</v>
      </c>
      <c r="AU68" s="45">
        <f>MIN(Gemma!$K17:$K19)</f>
        <v>0.2591549296</v>
      </c>
      <c r="AV68" s="45">
        <f>MIN(Gemma!$L14:$L16)</f>
        <v>0</v>
      </c>
      <c r="AW68" s="45">
        <f>MIN(Gemma!$L17:$L19)</f>
        <v>0</v>
      </c>
      <c r="AX68" s="45">
        <f>MIN(Gemma!$M14:$M16)</f>
        <v>0</v>
      </c>
      <c r="AY68" s="45">
        <f>MIN(Gemma!$M17:$M19)</f>
        <v>0</v>
      </c>
      <c r="AZ68" s="45">
        <f>MIN(Gemma!$N14:$N16)</f>
        <v>0.9999999404</v>
      </c>
      <c r="BA68" s="45">
        <f>MIN(Gemma!$N17:$N19)</f>
        <v>0.9999999404</v>
      </c>
      <c r="BB68" s="45">
        <f>MIN(Gemma!$O14:$O16)</f>
        <v>0.9999999404</v>
      </c>
      <c r="BC68" s="45">
        <f>MIN(Gemma!$O17:$O19)</f>
        <v>0.9999999404</v>
      </c>
      <c r="BE68" s="44" t="s">
        <v>101</v>
      </c>
      <c r="BF68" s="45">
        <f>MIN(Gemma!$J20:$J22)</f>
        <v>0.1900519673</v>
      </c>
      <c r="BG68" s="45">
        <f>MIN(Gemma!$J23:$J25)</f>
        <v>0.2037174721</v>
      </c>
      <c r="BH68" s="45">
        <f>MIN(Gemma!$K20:$K22)</f>
        <v>0.2672605791</v>
      </c>
      <c r="BI68" s="45">
        <f>MIN(Gemma!$K23:$K25)</f>
        <v>0.2676579926</v>
      </c>
      <c r="BJ68" s="45">
        <f>MIN(Gemma!$L20:$L22)</f>
        <v>0</v>
      </c>
      <c r="BK68" s="45">
        <f>MIN(Gemma!$L23:$L25)</f>
        <v>0</v>
      </c>
      <c r="BL68" s="45">
        <f>MIN(Gemma!$M20:$M22)</f>
        <v>0</v>
      </c>
      <c r="BM68" s="45">
        <f>MIN(Gemma!$M23:$M25)</f>
        <v>0</v>
      </c>
      <c r="BN68" s="45">
        <f>MIN(Gemma!$N20:$N22)</f>
        <v>0.9999999404</v>
      </c>
      <c r="BO68" s="45">
        <f>MIN(Gemma!$N23:$N25)</f>
        <v>0.9999999404</v>
      </c>
      <c r="BP68" s="45">
        <f>MIN(Gemma!$O20:$O22)</f>
        <v>0.9999999404</v>
      </c>
      <c r="BQ68" s="45">
        <f>MIN(Gemma!$O23:$O25)</f>
        <v>0.9999999404</v>
      </c>
      <c r="BS68" s="44" t="s">
        <v>101</v>
      </c>
      <c r="BT68" s="45">
        <f>MIN(Gemma!$J26:$J28)</f>
        <v>0.175304878</v>
      </c>
      <c r="BU68" s="45">
        <f>MIN(Gemma!$J29:$J31)</f>
        <v>0.1988773055</v>
      </c>
      <c r="BV68" s="45">
        <f>MIN(Gemma!$K26:$K28)</f>
        <v>0.2667682927</v>
      </c>
      <c r="BW68" s="45">
        <f>MIN(Gemma!$K29:$K31)</f>
        <v>0.2559753277</v>
      </c>
      <c r="BX68" s="45">
        <f>MIN(Gemma!$L26:$L28)</f>
        <v>0</v>
      </c>
      <c r="BY68" s="45">
        <f>MIN(Gemma!$L29:$L31)</f>
        <v>0</v>
      </c>
      <c r="BZ68" s="45">
        <f>MIN(Gemma!$M26:$M28)</f>
        <v>0</v>
      </c>
      <c r="CA68" s="45">
        <f>MIN(Gemma!$M29:$M31)</f>
        <v>0</v>
      </c>
      <c r="CB68" s="45">
        <f>MIN(Gemma!$N26:$N28)</f>
        <v>0.9999999404</v>
      </c>
      <c r="CC68" s="45">
        <f>MIN(Gemma!$N29:$N31)</f>
        <v>0.9999999404</v>
      </c>
      <c r="CD68" s="45">
        <f>MIN(Gemma!$O26:$O28)</f>
        <v>0.9999999404</v>
      </c>
      <c r="CE68" s="45">
        <f>MIN(Gemma!$O29:$O31)</f>
        <v>0.9999999404</v>
      </c>
      <c r="CG68" s="44" t="s">
        <v>101</v>
      </c>
      <c r="CH68" s="45">
        <f>MIN(Gemma!$J32:$J34)</f>
        <v>0.1959654179</v>
      </c>
      <c r="CI68" s="45">
        <f>MIN(Gemma!$J35:$J37)</f>
        <v>0.2110778443</v>
      </c>
      <c r="CJ68" s="45">
        <f>MIN(Gemma!$K32:$K34)</f>
        <v>0.2940756602</v>
      </c>
      <c r="CK68" s="45">
        <f>MIN(Gemma!$K35:$K37)</f>
        <v>0.2689804772</v>
      </c>
      <c r="CL68" s="45">
        <f>MIN(Gemma!$L32:$L34)</f>
        <v>0</v>
      </c>
      <c r="CM68" s="45">
        <f>MIN(Gemma!$L35:$L37)</f>
        <v>0</v>
      </c>
      <c r="CN68" s="45">
        <f>MIN(Gemma!$M32:$M34)</f>
        <v>0</v>
      </c>
      <c r="CO68" s="45">
        <f>MIN(Gemma!$M35:$M37)</f>
        <v>0</v>
      </c>
      <c r="CP68" s="45">
        <f>MIN(Gemma!$N32:$N34)</f>
        <v>0.9999999404</v>
      </c>
      <c r="CQ68" s="45">
        <f>MIN(Gemma!$N35:$N37)</f>
        <v>0.9999999404</v>
      </c>
      <c r="CR68" s="45">
        <f>MIN(Gemma!$O32:$O34)</f>
        <v>0.9999999404</v>
      </c>
      <c r="CS68" s="45">
        <f>MIN(Gemma!$O35:$O37)</f>
        <v>0.9999999404</v>
      </c>
    </row>
    <row r="69" ht="15.75" customHeight="1">
      <c r="A69" s="42" t="s">
        <v>102</v>
      </c>
      <c r="B69" s="43">
        <f>MIN(metricas_media!$J182:$J199)</f>
        <v>0.1610044313</v>
      </c>
      <c r="C69" s="43">
        <f>MIN(metricas_media!$J37:$J200)</f>
        <v>0.1379857256</v>
      </c>
      <c r="D69" s="43">
        <f>MIN(metricas_media!$K182:$K199)</f>
        <v>0.2122571001</v>
      </c>
      <c r="E69" s="43">
        <f>MIN(metricas_media!$K37:$K200)</f>
        <v>0.1669316375</v>
      </c>
      <c r="F69" s="43">
        <f>MIN(metricas_media!$L182:$L199)</f>
        <v>0</v>
      </c>
      <c r="G69" s="43">
        <f>MIN(metricas_media!$L37:$L200)</f>
        <v>0</v>
      </c>
      <c r="H69" s="43">
        <f>MIN(metricas_media!$M182:$M199)</f>
        <v>0</v>
      </c>
      <c r="I69" s="43">
        <f>MIN(metricas_media!$M37:$M200)</f>
        <v>0</v>
      </c>
      <c r="J69" s="43">
        <f>MIN(metricas_media!$N182:$N199)</f>
        <v>0.7023139</v>
      </c>
      <c r="K69" s="43">
        <f>MIN(metricas_media!$N37:$N200)</f>
        <v>0.7023139</v>
      </c>
      <c r="L69" s="43">
        <f>MIN(metricas_media!$O182:$O199)</f>
        <v>0.5545380712</v>
      </c>
      <c r="M69" s="43">
        <f>MIN(metricas_media!$O37:$O200)</f>
        <v>0.4874948859</v>
      </c>
      <c r="O69" s="44" t="s">
        <v>102</v>
      </c>
      <c r="P69" s="45">
        <f>MIN(Qwen!$J2:$J4)</f>
        <v>0.1643835616</v>
      </c>
      <c r="Q69" s="45">
        <f>MIN(Qwen!$J5:$J7)</f>
        <v>0.1573926868</v>
      </c>
      <c r="R69" s="45">
        <f>MIN(Qwen!$K2:$K4)</f>
        <v>0.2307137707</v>
      </c>
      <c r="S69" s="45">
        <f>MIN(Qwen!$K5:$K7)</f>
        <v>0.1669316375</v>
      </c>
      <c r="T69" s="45">
        <f>MIN(Qwen!$L2:$L4)</f>
        <v>0</v>
      </c>
      <c r="U69" s="45">
        <f>MIN(Qwen!$L5:$L7)</f>
        <v>0</v>
      </c>
      <c r="V69" s="45">
        <f>MIN(Qwen!$M2:$M4)</f>
        <v>0</v>
      </c>
      <c r="W69" s="45">
        <f>MIN(Qwen!$M5:$M7)</f>
        <v>0</v>
      </c>
      <c r="X69" s="45">
        <f>MIN(Qwen!$N2:$N4)</f>
        <v>0.7023139</v>
      </c>
      <c r="Y69" s="45">
        <f>MIN(Qwen!$N5:$N7)</f>
        <v>0.8277580142</v>
      </c>
      <c r="Z69" s="45">
        <f>MIN(Qwen!$O2:$O4)</f>
        <v>0.6929934025</v>
      </c>
      <c r="AA69" s="45">
        <f>MIN(Qwen!$O5:$O7)</f>
        <v>0.8464414477</v>
      </c>
      <c r="AC69" s="44" t="s">
        <v>102</v>
      </c>
      <c r="AD69" s="45">
        <f>MIN(Qwen!$J8:$J10)</f>
        <v>0.1610044313</v>
      </c>
      <c r="AE69" s="45">
        <f>MIN(Qwen!$J11:$J13)</f>
        <v>0.1505376344</v>
      </c>
      <c r="AF69" s="45">
        <f>MIN(Qwen!$K8:$K10)</f>
        <v>0.2122571001</v>
      </c>
      <c r="AG69" s="45">
        <f>MIN(Qwen!$K11:$K13)</f>
        <v>0.2</v>
      </c>
      <c r="AH69" s="45">
        <f>MIN(Qwen!$L8:$L10)</f>
        <v>0</v>
      </c>
      <c r="AI69" s="45">
        <f>MIN(Qwen!$L11:$L13)</f>
        <v>0</v>
      </c>
      <c r="AJ69" s="45">
        <f>MIN(Qwen!$M8:$M10)</f>
        <v>0</v>
      </c>
      <c r="AK69" s="45">
        <f>MIN(Qwen!$M11:$M13)</f>
        <v>0</v>
      </c>
      <c r="AL69" s="45">
        <f>MIN(Qwen!$N8:$N10)</f>
        <v>0.7023139</v>
      </c>
      <c r="AM69" s="45">
        <f>MIN(Qwen!$N11:$N13)</f>
        <v>0.8277580142</v>
      </c>
      <c r="AN69" s="45">
        <f>MIN(Qwen!$O8:$O10)</f>
        <v>0.5545380712</v>
      </c>
      <c r="AO69" s="45">
        <f>MIN(Qwen!$O11:$O13)</f>
        <v>0.5672008395</v>
      </c>
      <c r="AQ69" s="44" t="s">
        <v>102</v>
      </c>
      <c r="AR69" s="45">
        <f>MIN(Qwen!$J14:$J16)</f>
        <v>0.1753846154</v>
      </c>
      <c r="AS69" s="45">
        <f>MIN(Qwen!$J17:$J19)</f>
        <v>0.1662337662</v>
      </c>
      <c r="AT69" s="45">
        <f>MIN(Qwen!$K14:$K16)</f>
        <v>0.2352024922</v>
      </c>
      <c r="AU69" s="45">
        <f>MIN(Qwen!$K17:$K19)</f>
        <v>0.1783549784</v>
      </c>
      <c r="AV69" s="45">
        <f>MIN(Qwen!$L14:$L16)</f>
        <v>0</v>
      </c>
      <c r="AW69" s="45">
        <f>MIN(Qwen!$L17:$L19)</f>
        <v>0</v>
      </c>
      <c r="AX69" s="45">
        <f>MIN(Qwen!$M14:$M16)</f>
        <v>0</v>
      </c>
      <c r="AY69" s="45">
        <f>MIN(Qwen!$M17:$M19)</f>
        <v>0</v>
      </c>
      <c r="AZ69" s="45">
        <f>MIN(Qwen!$N14:$N16)</f>
        <v>0.7023139</v>
      </c>
      <c r="BA69" s="45">
        <f>MIN(Qwen!$N17:$N19)</f>
        <v>0.8277580142</v>
      </c>
      <c r="BB69" s="45">
        <f>MIN(Qwen!$O14:$O16)</f>
        <v>0.7023139</v>
      </c>
      <c r="BC69" s="45">
        <f>MIN(Qwen!$O17:$O19)</f>
        <v>0.8277580142</v>
      </c>
      <c r="BE69" s="44" t="s">
        <v>102</v>
      </c>
      <c r="BF69" s="45">
        <f>MIN(Qwen!$J20:$J22)</f>
        <v>0.1691113028</v>
      </c>
      <c r="BG69" s="45">
        <f>MIN(Qwen!$J23:$J25)</f>
        <v>0.1646623497</v>
      </c>
      <c r="BH69" s="45">
        <f>MIN(Qwen!$K20:$K22)</f>
        <v>0.2312338223</v>
      </c>
      <c r="BI69" s="45">
        <f>MIN(Qwen!$K23:$K25)</f>
        <v>0.1883495146</v>
      </c>
      <c r="BJ69" s="45">
        <f>MIN(Qwen!$L20:$L22)</f>
        <v>0</v>
      </c>
      <c r="BK69" s="45">
        <f>MIN(Qwen!$L23:$L25)</f>
        <v>0</v>
      </c>
      <c r="BL69" s="45">
        <f>MIN(Qwen!$M20:$M22)</f>
        <v>0</v>
      </c>
      <c r="BM69" s="45">
        <f>MIN(Qwen!$M23:$M25)</f>
        <v>0</v>
      </c>
      <c r="BN69" s="45">
        <f>MIN(Qwen!$N20:$N22)</f>
        <v>0.7023139</v>
      </c>
      <c r="BO69" s="45">
        <f>MIN(Qwen!$N23:$N25)</f>
        <v>0.8277580142</v>
      </c>
      <c r="BP69" s="45">
        <f>MIN(Qwen!$O20:$O22)</f>
        <v>0.7023139</v>
      </c>
      <c r="BQ69" s="45">
        <f>MIN(Qwen!$O23:$O25)</f>
        <v>0.8277580142</v>
      </c>
      <c r="BS69" s="44" t="s">
        <v>102</v>
      </c>
      <c r="BT69" s="45">
        <f>MIN(Qwen!$J26:$J28)</f>
        <v>0.1674167417</v>
      </c>
      <c r="BU69" s="45">
        <f>MIN(Qwen!$J29:$J31)</f>
        <v>0.1761858664</v>
      </c>
      <c r="BV69" s="45">
        <f>MIN(Qwen!$K26:$K28)</f>
        <v>0.2142214221</v>
      </c>
      <c r="BW69" s="45">
        <f>MIN(Qwen!$K29:$K31)</f>
        <v>0.1934826884</v>
      </c>
      <c r="BX69" s="45">
        <f>MIN(Qwen!$L26:$L28)</f>
        <v>0</v>
      </c>
      <c r="BY69" s="45">
        <f>MIN(Qwen!$L29:$L31)</f>
        <v>0</v>
      </c>
      <c r="BZ69" s="45">
        <f>MIN(Qwen!$M26:$M28)</f>
        <v>0</v>
      </c>
      <c r="CA69" s="45">
        <f>MIN(Qwen!$M29:$M31)</f>
        <v>0</v>
      </c>
      <c r="CB69" s="45">
        <f>MIN(Qwen!$N26:$N28)</f>
        <v>0.7023139</v>
      </c>
      <c r="CC69" s="45">
        <f>MIN(Qwen!$N29:$N31)</f>
        <v>0.8277580142</v>
      </c>
      <c r="CD69" s="45">
        <f>MIN(Qwen!$O26:$O28)</f>
        <v>0.7023139</v>
      </c>
      <c r="CE69" s="45">
        <f>MIN(Qwen!$O29:$O31)</f>
        <v>0.8277580142</v>
      </c>
      <c r="CG69" s="44" t="s">
        <v>102</v>
      </c>
      <c r="CH69" s="45">
        <f>MIN(Qwen!$J32:$J34)</f>
        <v>0.175</v>
      </c>
      <c r="CI69" s="45">
        <f>MIN(Qwen!$J35:$J37)</f>
        <v>0.1830065359</v>
      </c>
      <c r="CJ69" s="45">
        <f>MIN(Qwen!$K32:$K34)</f>
        <v>0.23</v>
      </c>
      <c r="CK69" s="45">
        <f>MIN(Qwen!$K35:$K37)</f>
        <v>0.2072829132</v>
      </c>
      <c r="CL69" s="45">
        <f>MIN(Qwen!$L32:$L34)</f>
        <v>0</v>
      </c>
      <c r="CM69" s="45">
        <f>MIN(Qwen!$L35:$L37)</f>
        <v>0</v>
      </c>
      <c r="CN69" s="45">
        <f>MIN(Qwen!$M32:$M34)</f>
        <v>0</v>
      </c>
      <c r="CO69" s="45">
        <f>MIN(Qwen!$M35:$M37)</f>
        <v>0</v>
      </c>
      <c r="CP69" s="45">
        <f>MIN(Qwen!$N32:$N34)</f>
        <v>0.7023139</v>
      </c>
      <c r="CQ69" s="45">
        <f>MIN(Qwen!$N35:$N37)</f>
        <v>0.8277580142</v>
      </c>
      <c r="CR69" s="45">
        <f>MIN(Qwen!$O32:$O34)</f>
        <v>0.7023139</v>
      </c>
      <c r="CS69" s="45">
        <f>MIN(Qwen!$O35:$O37)</f>
        <v>0.8277580142</v>
      </c>
    </row>
    <row r="70" ht="15.75" customHeight="1">
      <c r="A70" s="42" t="s">
        <v>103</v>
      </c>
      <c r="B70" s="43">
        <f>MIN(metricas_media!$J74:$J91)</f>
        <v>0.1773333333</v>
      </c>
      <c r="C70" s="43">
        <f>MIN(metricas_media!$J92:$J109)</f>
        <v>0.1826024443</v>
      </c>
      <c r="D70" s="43">
        <f>MIN(metricas_media!$K74:$K91)</f>
        <v>0.2063492063</v>
      </c>
      <c r="E70" s="43">
        <f>MIN(metricas_media!$K92:$K109)</f>
        <v>0.2272425249</v>
      </c>
      <c r="F70" s="43">
        <f>MIN(metricas_media!$L74:$L91)</f>
        <v>0</v>
      </c>
      <c r="G70" s="43">
        <f>MIN(metricas_media!$L92:$L109)</f>
        <v>0</v>
      </c>
      <c r="H70" s="43">
        <f>MIN(metricas_media!$M74:$M91)</f>
        <v>0</v>
      </c>
      <c r="I70" s="43">
        <f>MIN(metricas_media!$M92:$M109)</f>
        <v>0</v>
      </c>
      <c r="J70" s="43">
        <f>MIN(metricas_media!$N74:$N91)</f>
        <v>0.7693519592</v>
      </c>
      <c r="K70" s="43">
        <f>MIN(metricas_media!$N92:$N109)</f>
        <v>0.9999999404</v>
      </c>
      <c r="L70" s="43">
        <f>MIN(metricas_media!$O74:$O91)</f>
        <v>0.4874948859</v>
      </c>
      <c r="M70" s="43">
        <f>MIN(metricas_media!$O92:$O109)</f>
        <v>0.5545380712</v>
      </c>
      <c r="O70" s="44" t="s">
        <v>103</v>
      </c>
      <c r="P70" s="45">
        <f>MIN(Llama!$J2:$J4)</f>
        <v>0.1773333333</v>
      </c>
      <c r="Q70" s="45">
        <f>MIN(Llama!$J5:$J7)</f>
        <v>0.1834002677</v>
      </c>
      <c r="R70" s="45">
        <f>MIN(Llama!$K2:$K4)</f>
        <v>0.2352150538</v>
      </c>
      <c r="S70" s="45">
        <f>MIN(Llama!$K5:$K7)</f>
        <v>0.2329472329</v>
      </c>
      <c r="T70" s="45">
        <f>MIN(Llama!$L2:$L4)</f>
        <v>0</v>
      </c>
      <c r="U70" s="45">
        <f>MIN(Llama!$L5:$L7)</f>
        <v>0</v>
      </c>
      <c r="V70" s="45">
        <f>MIN(Llama!$M2:$M4)</f>
        <v>0</v>
      </c>
      <c r="W70" s="45">
        <f>MIN(Llama!$M5:$M7)</f>
        <v>0</v>
      </c>
      <c r="X70" s="45">
        <f>MIN(Llama!$N2:$N4)</f>
        <v>0.7693519592</v>
      </c>
      <c r="Y70" s="45">
        <f>MIN(Llama!$N5:$N7)</f>
        <v>0.9999999404</v>
      </c>
      <c r="Z70" s="45">
        <f>MIN(Llama!$O2:$O4)</f>
        <v>0.8153265715</v>
      </c>
      <c r="AA70" s="45">
        <f>MIN(Llama!$O5:$O7)</f>
        <v>0.8271334767</v>
      </c>
      <c r="AC70" s="44" t="s">
        <v>103</v>
      </c>
      <c r="AD70" s="45">
        <f>MIN(Llama!$J8:$J10)</f>
        <v>0.1805651275</v>
      </c>
      <c r="AE70" s="45">
        <f>MIN(Llama!$J11:$J13)</f>
        <v>0.1951557093</v>
      </c>
      <c r="AF70" s="45">
        <f>MIN(Llama!$K8:$K10)</f>
        <v>0.2237665045</v>
      </c>
      <c r="AG70" s="45">
        <f>MIN(Llama!$K11:$K13)</f>
        <v>0.2272425249</v>
      </c>
      <c r="AH70" s="45">
        <f>MIN(Llama!$L8:$L10)</f>
        <v>0</v>
      </c>
      <c r="AI70" s="45">
        <f>MIN(Llama!$L11:$L13)</f>
        <v>0</v>
      </c>
      <c r="AJ70" s="45">
        <f>MIN(Llama!$M8:$M10)</f>
        <v>0</v>
      </c>
      <c r="AK70" s="45">
        <f>MIN(Llama!$M11:$M13)</f>
        <v>0</v>
      </c>
      <c r="AL70" s="45">
        <f>MIN(Llama!$N8:$N10)</f>
        <v>0.7693519592</v>
      </c>
      <c r="AM70" s="45">
        <f>MIN(Llama!$N11:$N13)</f>
        <v>0.9999999404</v>
      </c>
      <c r="AN70" s="45">
        <f>MIN(Llama!$O8:$O10)</f>
        <v>0.4874948859</v>
      </c>
      <c r="AO70" s="45">
        <f>MIN(Llama!$O11:$O13)</f>
        <v>0.5545380712</v>
      </c>
      <c r="AQ70" s="44" t="s">
        <v>103</v>
      </c>
      <c r="AR70" s="45">
        <f>MIN(Llama!$J14:$J16)</f>
        <v>0.1875447387</v>
      </c>
      <c r="AS70" s="45">
        <f>MIN(Llama!$J17:$J19)</f>
        <v>0.1826024443</v>
      </c>
      <c r="AT70" s="45">
        <f>MIN(Llama!$K14:$K16)</f>
        <v>0.2541516245</v>
      </c>
      <c r="AU70" s="45">
        <f>MIN(Llama!$K17:$K19)</f>
        <v>0.2300503235</v>
      </c>
      <c r="AV70" s="45">
        <f>MIN(Llama!$L14:$L16)</f>
        <v>0</v>
      </c>
      <c r="AW70" s="45">
        <f>MIN(Llama!$L17:$L19)</f>
        <v>0</v>
      </c>
      <c r="AX70" s="45">
        <f>MIN(Llama!$M14:$M16)</f>
        <v>0</v>
      </c>
      <c r="AY70" s="45">
        <f>MIN(Llama!$M17:$M19)</f>
        <v>0</v>
      </c>
      <c r="AZ70" s="45">
        <f>MIN(Llama!$N14:$N16)</f>
        <v>0.7693519592</v>
      </c>
      <c r="BA70" s="45">
        <f>MIN(Llama!$N17:$N19)</f>
        <v>0.9999999404</v>
      </c>
      <c r="BB70" s="45">
        <f>MIN(Llama!$O14:$O16)</f>
        <v>0.7693519592</v>
      </c>
      <c r="BC70" s="45">
        <f>MIN(Llama!$O17:$O19)</f>
        <v>0.9999999404</v>
      </c>
      <c r="BE70" s="44" t="s">
        <v>103</v>
      </c>
      <c r="BF70" s="45">
        <f>MIN(Llama!$J20:$J22)</f>
        <v>0.1888888889</v>
      </c>
      <c r="BG70" s="45">
        <f>MIN(Llama!$J23:$J25)</f>
        <v>0.1879936809</v>
      </c>
      <c r="BH70" s="45">
        <f>MIN(Llama!$K20:$K22)</f>
        <v>0.2063492063</v>
      </c>
      <c r="BI70" s="45">
        <f>MIN(Llama!$K23:$K25)</f>
        <v>0.24328594</v>
      </c>
      <c r="BJ70" s="45">
        <f>MIN(Llama!$L20:$L22)</f>
        <v>0</v>
      </c>
      <c r="BK70" s="45">
        <f>MIN(Llama!$L23:$L25)</f>
        <v>0</v>
      </c>
      <c r="BL70" s="45">
        <f>MIN(Llama!$M20:$M22)</f>
        <v>0</v>
      </c>
      <c r="BM70" s="45">
        <f>MIN(Llama!$M23:$M25)</f>
        <v>0</v>
      </c>
      <c r="BN70" s="45">
        <f>MIN(Llama!$N20:$N22)</f>
        <v>0.7693519592</v>
      </c>
      <c r="BO70" s="45">
        <f>MIN(Llama!$N23:$N25)</f>
        <v>0.9999999404</v>
      </c>
      <c r="BP70" s="45">
        <f>MIN(Llama!$O20:$O22)</f>
        <v>0.7693519592</v>
      </c>
      <c r="BQ70" s="45">
        <f>MIN(Llama!$O23:$O25)</f>
        <v>0.9999999404</v>
      </c>
      <c r="BS70" s="44" t="s">
        <v>103</v>
      </c>
      <c r="BT70" s="45">
        <f>MIN(Llama!$J26:$J28)</f>
        <v>0.1913043478</v>
      </c>
      <c r="BU70" s="45">
        <f>MIN(Llama!$J29:$J31)</f>
        <v>0.1921182266</v>
      </c>
      <c r="BV70" s="45">
        <f>MIN(Llama!$K26:$K28)</f>
        <v>0.2623762376</v>
      </c>
      <c r="BW70" s="45">
        <f>MIN(Llama!$K29:$K31)</f>
        <v>0.2456964006</v>
      </c>
      <c r="BX70" s="45">
        <f>MIN(Llama!$L26:$L28)</f>
        <v>0</v>
      </c>
      <c r="BY70" s="45">
        <f>MIN(Llama!$L29:$L31)</f>
        <v>0</v>
      </c>
      <c r="BZ70" s="45">
        <f>MIN(Llama!$M26:$M28)</f>
        <v>0</v>
      </c>
      <c r="CA70" s="45">
        <f>MIN(Llama!$M29:$M31)</f>
        <v>0</v>
      </c>
      <c r="CB70" s="45">
        <f>MIN(Llama!$N26:$N28)</f>
        <v>0.7693519592</v>
      </c>
      <c r="CC70" s="45">
        <f>MIN(Llama!$N29:$N31)</f>
        <v>0.9999999404</v>
      </c>
      <c r="CD70" s="45">
        <f>MIN(Llama!$O26:$O28)</f>
        <v>0.7693519592</v>
      </c>
      <c r="CE70" s="45">
        <f>MIN(Llama!$O29:$O31)</f>
        <v>0.9999999404</v>
      </c>
      <c r="CG70" s="44" t="s">
        <v>103</v>
      </c>
      <c r="CH70" s="45">
        <f>MIN(Llama!$J32:$J34)</f>
        <v>0.1949733435</v>
      </c>
      <c r="CI70" s="45">
        <f>MIN(Llama!$J35:$J37)</f>
        <v>0.1928079572</v>
      </c>
      <c r="CJ70" s="45">
        <f>MIN(Llama!$K32:$K34)</f>
        <v>0.272658035</v>
      </c>
      <c r="CK70" s="45">
        <f>MIN(Llama!$K35:$K37)</f>
        <v>0.2662586075</v>
      </c>
      <c r="CL70" s="45">
        <f>MIN(Llama!$L32:$L34)</f>
        <v>0</v>
      </c>
      <c r="CM70" s="45">
        <f>MIN(Llama!$L35:$L37)</f>
        <v>0</v>
      </c>
      <c r="CN70" s="45">
        <f>MIN(Llama!$M32:$M34)</f>
        <v>0</v>
      </c>
      <c r="CO70" s="45">
        <f>MIN(Llama!$M35:$M37)</f>
        <v>0</v>
      </c>
      <c r="CP70" s="45">
        <f>MIN(Llama!$N32:$N34)</f>
        <v>0.7693519592</v>
      </c>
      <c r="CQ70" s="45">
        <f>MIN(Llama!$N35:$N37)</f>
        <v>0.9999999404</v>
      </c>
      <c r="CR70" s="45">
        <f>MIN(Llama!$O32:$O34)</f>
        <v>0.7693519592</v>
      </c>
      <c r="CS70" s="45">
        <f>MIN(Llama!$O35:$O37)</f>
        <v>0.9999999404</v>
      </c>
    </row>
    <row r="71" ht="15.75" customHeight="1">
      <c r="A71" s="42" t="s">
        <v>104</v>
      </c>
      <c r="B71" s="43">
        <f>MIN(metricas_media!$J110:$J127)</f>
        <v>0.1623231571</v>
      </c>
      <c r="C71" s="43">
        <f>MIN(metricas_media!$J128:$J145)</f>
        <v>0.1635036496</v>
      </c>
      <c r="D71" s="43">
        <f>MIN(metricas_media!$K110:$K127)</f>
        <v>0.2144452718</v>
      </c>
      <c r="E71" s="43">
        <f>MIN(metricas_media!$K128:$K145)</f>
        <v>0.218016654</v>
      </c>
      <c r="F71" s="43">
        <f>MIN(metricas_media!$L110:$L127)</f>
        <v>0</v>
      </c>
      <c r="G71" s="43">
        <f>MIN(metricas_media!$L128:$L145)</f>
        <v>0</v>
      </c>
      <c r="H71" s="43">
        <f>MIN(metricas_media!$M110:$M127)</f>
        <v>0</v>
      </c>
      <c r="I71" s="43">
        <f>MIN(metricas_media!$M128:$M145)</f>
        <v>0</v>
      </c>
      <c r="J71" s="43">
        <f>MIN(metricas_media!$N110:$N127)</f>
        <v>0.7693519592</v>
      </c>
      <c r="K71" s="43">
        <f>MIN(metricas_media!$N128:$N145)</f>
        <v>0.9999999404</v>
      </c>
      <c r="L71" s="43">
        <f>MIN(metricas_media!$O110:$O127)</f>
        <v>0.4874948859</v>
      </c>
      <c r="M71" s="43">
        <f>MIN(metricas_media!$O128:$O145)</f>
        <v>0.5545380712</v>
      </c>
      <c r="O71" s="44" t="s">
        <v>104</v>
      </c>
      <c r="P71" s="45">
        <f>MIN(Mixtral!$J2:$J4)</f>
        <v>0.1695402299</v>
      </c>
      <c r="Q71" s="45">
        <f>MIN(Mixtral!$J5:$J7)</f>
        <v>0.1635036496</v>
      </c>
      <c r="R71" s="45">
        <f>MIN(Mixtral!$K2:$K4)</f>
        <v>0.2385057471</v>
      </c>
      <c r="S71" s="45">
        <f>MIN(Mixtral!$K5:$K7)</f>
        <v>0.2262773723</v>
      </c>
      <c r="T71" s="45">
        <f>MIN(Mixtral!$L2:$L4)</f>
        <v>0</v>
      </c>
      <c r="U71" s="45">
        <f>MIN(Mixtral!$L5:$L7)</f>
        <v>0</v>
      </c>
      <c r="V71" s="45">
        <f>MIN(Mixtral!$M2:$M4)</f>
        <v>0</v>
      </c>
      <c r="W71" s="45">
        <f>MIN(Mixtral!$M5:$M7)</f>
        <v>0</v>
      </c>
      <c r="X71" s="45">
        <f>MIN(Mixtral!$N2:$N4)</f>
        <v>0.7693519592</v>
      </c>
      <c r="Y71" s="45">
        <f>MIN(Mixtral!$N5:$N7)</f>
        <v>0.9999999404</v>
      </c>
      <c r="Z71" s="45">
        <f>MIN(Mixtral!$O2:$O4)</f>
        <v>0.8153265715</v>
      </c>
      <c r="AA71" s="45">
        <f>MIN(Mixtral!$O5:$O7)</f>
        <v>0.8271334767</v>
      </c>
      <c r="AC71" s="44" t="s">
        <v>104</v>
      </c>
      <c r="AD71" s="45">
        <f>MIN(Mixtral!$J8:$J10)</f>
        <v>0.1623231571</v>
      </c>
      <c r="AE71" s="45">
        <f>MIN(Mixtral!$J11:$J13)</f>
        <v>0.1665404996</v>
      </c>
      <c r="AF71" s="45">
        <f>MIN(Mixtral!$K8:$K10)</f>
        <v>0.2144452718</v>
      </c>
      <c r="AG71" s="45">
        <f>MIN(Mixtral!$K11:$K13)</f>
        <v>0.218016654</v>
      </c>
      <c r="AH71" s="45">
        <f>MIN(Mixtral!$L8:$L10)</f>
        <v>0</v>
      </c>
      <c r="AI71" s="45">
        <f>MIN(Mixtral!$L11:$L13)</f>
        <v>0</v>
      </c>
      <c r="AJ71" s="45">
        <f>MIN(Mixtral!$M8:$M10)</f>
        <v>0</v>
      </c>
      <c r="AK71" s="45">
        <f>MIN(Mixtral!$M11:$M13)</f>
        <v>0</v>
      </c>
      <c r="AL71" s="45">
        <f>MIN(Mixtral!$N8:$N10)</f>
        <v>0.7693519592</v>
      </c>
      <c r="AM71" s="45">
        <f>MIN(Mixtral!$N11:$N13)</f>
        <v>0.9999999404</v>
      </c>
      <c r="AN71" s="45">
        <f>MIN(Mixtral!$O8:$O10)</f>
        <v>0.4874948859</v>
      </c>
      <c r="AO71" s="45">
        <f>MIN(Mixtral!$O11:$O13)</f>
        <v>0.5545380712</v>
      </c>
      <c r="AQ71" s="44" t="s">
        <v>104</v>
      </c>
      <c r="AR71" s="45">
        <f>MIN(Mixtral!$J14:$J16)</f>
        <v>0.1836884644</v>
      </c>
      <c r="AS71" s="45">
        <f>MIN(Mixtral!$J17:$J19)</f>
        <v>0.179952644</v>
      </c>
      <c r="AT71" s="45">
        <f>MIN(Mixtral!$K14:$K16)</f>
        <v>0.2451512801</v>
      </c>
      <c r="AU71" s="45">
        <f>MIN(Mixtral!$K17:$K19)</f>
        <v>0.2478295185</v>
      </c>
      <c r="AV71" s="45">
        <f>MIN(Mixtral!$L14:$L16)</f>
        <v>0</v>
      </c>
      <c r="AW71" s="45">
        <f>MIN(Mixtral!$L17:$L19)</f>
        <v>0</v>
      </c>
      <c r="AX71" s="45">
        <f>MIN(Mixtral!$M14:$M16)</f>
        <v>0</v>
      </c>
      <c r="AY71" s="45">
        <f>MIN(Mixtral!$M17:$M19)</f>
        <v>0</v>
      </c>
      <c r="AZ71" s="45">
        <f>MIN(Mixtral!$N14:$N16)</f>
        <v>0.7693519592</v>
      </c>
      <c r="BA71" s="45">
        <f>MIN(Mixtral!$N17:$N19)</f>
        <v>0.9999999404</v>
      </c>
      <c r="BB71" s="45">
        <f>MIN(Mixtral!$O14:$O16)</f>
        <v>0.7693519592</v>
      </c>
      <c r="BC71" s="45">
        <f>MIN(Mixtral!$O17:$O19)</f>
        <v>0.9999999404</v>
      </c>
      <c r="BE71" s="44" t="s">
        <v>104</v>
      </c>
      <c r="BF71" s="45">
        <f>MIN(Mixtral!$J20:$J22)</f>
        <v>0.1701030928</v>
      </c>
      <c r="BG71" s="45">
        <f>MIN(Mixtral!$J23:$J25)</f>
        <v>0.1751313485</v>
      </c>
      <c r="BH71" s="45">
        <f>MIN(Mixtral!$K20:$K22)</f>
        <v>0.2313915858</v>
      </c>
      <c r="BI71" s="45">
        <f>MIN(Mixtral!$K23:$K25)</f>
        <v>0.2310177706</v>
      </c>
      <c r="BJ71" s="45">
        <f>MIN(Mixtral!$L20:$L22)</f>
        <v>0</v>
      </c>
      <c r="BK71" s="45">
        <f>MIN(Mixtral!$L23:$L25)</f>
        <v>0</v>
      </c>
      <c r="BL71" s="45">
        <f>MIN(Mixtral!$M20:$M22)</f>
        <v>0</v>
      </c>
      <c r="BM71" s="45">
        <f>MIN(Mixtral!$M23:$M25)</f>
        <v>0</v>
      </c>
      <c r="BN71" s="45">
        <f>MIN(Mixtral!$N20:$N22)</f>
        <v>0.7693519592</v>
      </c>
      <c r="BO71" s="45">
        <f>MIN(Mixtral!$N23:$N25)</f>
        <v>0.9999999404</v>
      </c>
      <c r="BP71" s="45">
        <f>MIN(Mixtral!$O20:$O22)</f>
        <v>0.7693519592</v>
      </c>
      <c r="BQ71" s="45">
        <f>MIN(Mixtral!$O23:$O25)</f>
        <v>0.9999999404</v>
      </c>
      <c r="BS71" s="44" t="s">
        <v>104</v>
      </c>
      <c r="BT71" s="45">
        <f>MIN(Mixtral!$J26:$J28)</f>
        <v>0.1851851852</v>
      </c>
      <c r="BU71" s="45">
        <f>MIN(Mixtral!$J29:$J31)</f>
        <v>0.1731092437</v>
      </c>
      <c r="BV71" s="45">
        <f>MIN(Mixtral!$K26:$K28)</f>
        <v>0.2727272727</v>
      </c>
      <c r="BW71" s="45">
        <f>MIN(Mixtral!$K29:$K31)</f>
        <v>0.2403361345</v>
      </c>
      <c r="BX71" s="45">
        <f>MIN(Mixtral!$L26:$L28)</f>
        <v>0</v>
      </c>
      <c r="BY71" s="45">
        <f>MIN(Mixtral!$L29:$L31)</f>
        <v>0</v>
      </c>
      <c r="BZ71" s="45">
        <f>MIN(Mixtral!$M26:$M28)</f>
        <v>0</v>
      </c>
      <c r="CA71" s="45">
        <f>MIN(Mixtral!$M29:$M31)</f>
        <v>0</v>
      </c>
      <c r="CB71" s="45">
        <f>MIN(Mixtral!$N26:$N28)</f>
        <v>0.7693519592</v>
      </c>
      <c r="CC71" s="45">
        <f>MIN(Mixtral!$N29:$N31)</f>
        <v>0.9999999404</v>
      </c>
      <c r="CD71" s="45">
        <f>MIN(Mixtral!$O26:$O28)</f>
        <v>0.7693519592</v>
      </c>
      <c r="CE71" s="45">
        <f>MIN(Mixtral!$O29:$O31)</f>
        <v>0.9999999404</v>
      </c>
      <c r="CG71" s="44" t="s">
        <v>104</v>
      </c>
      <c r="CH71" s="45">
        <f>MIN(Mixtral!$J32:$J34)</f>
        <v>0.179253112</v>
      </c>
      <c r="CI71" s="45">
        <f>MIN(Mixtral!$J35:$J37)</f>
        <v>0.1704456607</v>
      </c>
      <c r="CJ71" s="45">
        <f>MIN(Mixtral!$K32:$K34)</f>
        <v>0.2506224066</v>
      </c>
      <c r="CK71" s="45">
        <f>MIN(Mixtral!$K35:$K37)</f>
        <v>0.2349957735</v>
      </c>
      <c r="CL71" s="45">
        <f>MIN(Mixtral!$L32:$L34)</f>
        <v>0</v>
      </c>
      <c r="CM71" s="45">
        <f>MIN(Mixtral!$L35:$L37)</f>
        <v>0</v>
      </c>
      <c r="CN71" s="45">
        <f>MIN(Mixtral!$M32:$M34)</f>
        <v>0</v>
      </c>
      <c r="CO71" s="45">
        <f>MIN(Mixtral!$M35:$M37)</f>
        <v>0</v>
      </c>
      <c r="CP71" s="45">
        <f>MIN(Mixtral!$N32:$N34)</f>
        <v>0.7693519592</v>
      </c>
      <c r="CQ71" s="45">
        <f>MIN(Mixtral!$N35:$N37)</f>
        <v>0.9999999404</v>
      </c>
      <c r="CR71" s="45">
        <f>MIN(Mixtral!$O32:$O34)</f>
        <v>0.7693519592</v>
      </c>
      <c r="CS71" s="45">
        <f>MIN(Mixtral!$O35:$O37)</f>
        <v>0.9999999404</v>
      </c>
    </row>
    <row r="72" ht="15.75" customHeight="1">
      <c r="A72" s="42" t="s">
        <v>105</v>
      </c>
      <c r="B72" s="43">
        <f>MIN(metricas_media!$J146:$J163)</f>
        <v>0.1379857256</v>
      </c>
      <c r="C72" s="43">
        <f>MIN(metricas_media!$J164:$J181)</f>
        <v>0.1487481591</v>
      </c>
      <c r="D72" s="43">
        <f>MIN(metricas_media!$K146:$K163)</f>
        <v>0.1888888889</v>
      </c>
      <c r="E72" s="43">
        <f>MIN(metricas_media!$K164:$K181)</f>
        <v>0.1989449887</v>
      </c>
      <c r="F72" s="43">
        <f>MIN(metricas_media!$L146:$L163)</f>
        <v>0</v>
      </c>
      <c r="G72" s="43">
        <f>MIN(metricas_media!$L164:$L181)</f>
        <v>0</v>
      </c>
      <c r="H72" s="43">
        <f>MIN(metricas_media!$M146:$M163)</f>
        <v>0</v>
      </c>
      <c r="I72" s="43">
        <f>MIN(metricas_media!$M164:$M181)</f>
        <v>0</v>
      </c>
      <c r="J72" s="43">
        <f>MIN(metricas_media!$N146:$N163)</f>
        <v>0.7693519592</v>
      </c>
      <c r="K72" s="43">
        <f>MIN(metricas_media!$N164:$N181)</f>
        <v>0.7023139</v>
      </c>
      <c r="L72" s="43">
        <f>MIN(metricas_media!$O146:$O163)</f>
        <v>0.4874948859</v>
      </c>
      <c r="M72" s="43">
        <f>MIN(metricas_media!$O164:$O181)</f>
        <v>0.4874948859</v>
      </c>
      <c r="O72" s="44" t="s">
        <v>105</v>
      </c>
      <c r="P72" s="45">
        <f>MIN(Phi!$J2:$J4)</f>
        <v>0.1379857256</v>
      </c>
      <c r="Q72" s="45">
        <f>MIN(Phi!$J5:$J7)</f>
        <v>0.1606254442</v>
      </c>
      <c r="R72" s="45">
        <f>MIN(Phi!$K2:$K4)</f>
        <v>0.1919111816</v>
      </c>
      <c r="S72" s="45">
        <f>MIN(Phi!$K5:$K7)</f>
        <v>0.2132196162</v>
      </c>
      <c r="T72" s="45">
        <f>MIN(Phi!$L2:$L4)</f>
        <v>0</v>
      </c>
      <c r="U72" s="45">
        <f>MIN(Phi!$L5:$L7)</f>
        <v>0</v>
      </c>
      <c r="V72" s="45">
        <f>MIN(Phi!$M2:$M4)</f>
        <v>0</v>
      </c>
      <c r="W72" s="45">
        <f>MIN(Phi!$M5:$M7)</f>
        <v>0</v>
      </c>
      <c r="X72" s="45">
        <f>MIN(Phi!$N2:$N4)</f>
        <v>0.7693519592</v>
      </c>
      <c r="Y72" s="45">
        <f>MIN(Phi!$N5:$N7)</f>
        <v>0.7023139</v>
      </c>
      <c r="Z72" s="45">
        <f>MIN(Phi!$O2:$O4)</f>
        <v>0.8153265715</v>
      </c>
      <c r="AA72" s="45">
        <f>MIN(Phi!$O5:$O7)</f>
        <v>0.6929934025</v>
      </c>
      <c r="AC72" s="44" t="s">
        <v>105</v>
      </c>
      <c r="AD72" s="45">
        <f>MIN(Phi!$J8:$J10)</f>
        <v>0.1501650165</v>
      </c>
      <c r="AE72" s="45">
        <f>MIN(Phi!$J11:$J13)</f>
        <v>0.1487481591</v>
      </c>
      <c r="AF72" s="45">
        <f>MIN(Phi!$K8:$K10)</f>
        <v>0.1888888889</v>
      </c>
      <c r="AG72" s="45">
        <f>MIN(Phi!$K11:$K13)</f>
        <v>0.1989449887</v>
      </c>
      <c r="AH72" s="45">
        <f>MIN(Phi!$L8:$L10)</f>
        <v>0</v>
      </c>
      <c r="AI72" s="45">
        <f>MIN(Phi!$L11:$L13)</f>
        <v>0</v>
      </c>
      <c r="AJ72" s="45">
        <f>MIN(Phi!$M8:$M10)</f>
        <v>0</v>
      </c>
      <c r="AK72" s="45">
        <f>MIN(Phi!$M11:$M13)</f>
        <v>0</v>
      </c>
      <c r="AL72" s="45">
        <f>MIN(Phi!$N8:$N10)</f>
        <v>0.7693519592</v>
      </c>
      <c r="AM72" s="45">
        <f>MIN(Phi!$N11:$N13)</f>
        <v>0.7023139</v>
      </c>
      <c r="AN72" s="45">
        <f>MIN(Phi!$O8:$O10)</f>
        <v>0.4874948859</v>
      </c>
      <c r="AO72" s="45">
        <f>MIN(Phi!$O11:$O13)</f>
        <v>0.4874948859</v>
      </c>
      <c r="AQ72" s="44" t="s">
        <v>105</v>
      </c>
      <c r="AR72" s="45">
        <f>MIN(Phi!$J14:$J16)</f>
        <v>0.1485319516</v>
      </c>
      <c r="AS72" s="45">
        <f>MIN(Phi!$J17:$J19)</f>
        <v>0.1702453988</v>
      </c>
      <c r="AT72" s="45">
        <f>MIN(Phi!$K14:$K16)</f>
        <v>0.195164076</v>
      </c>
      <c r="AU72" s="45">
        <f>MIN(Phi!$K17:$K19)</f>
        <v>0.2231204527</v>
      </c>
      <c r="AV72" s="45">
        <f>MIN(Phi!$L14:$L16)</f>
        <v>0</v>
      </c>
      <c r="AW72" s="45">
        <f>MIN(Phi!$L17:$L19)</f>
        <v>0</v>
      </c>
      <c r="AX72" s="45">
        <f>MIN(Phi!$M14:$M16)</f>
        <v>0</v>
      </c>
      <c r="AY72" s="45">
        <f>MIN(Phi!$M17:$M19)</f>
        <v>0</v>
      </c>
      <c r="AZ72" s="45">
        <f>MIN(Phi!$N14:$N16)</f>
        <v>0.7693519592</v>
      </c>
      <c r="BA72" s="45">
        <f>MIN(Phi!$N17:$N19)</f>
        <v>0.7023139</v>
      </c>
      <c r="BB72" s="45">
        <f>MIN(Phi!$O14:$O16)</f>
        <v>0.7693519592</v>
      </c>
      <c r="BC72" s="45">
        <f>MIN(Phi!$O17:$O19)</f>
        <v>0.7023139</v>
      </c>
      <c r="BE72" s="44" t="s">
        <v>105</v>
      </c>
      <c r="BF72" s="45">
        <f>MIN(Phi!$J20:$J22)</f>
        <v>0.1626331075</v>
      </c>
      <c r="BG72" s="45">
        <f>MIN(Phi!$J23:$J25)</f>
        <v>0.1611535199</v>
      </c>
      <c r="BH72" s="45">
        <f>MIN(Phi!$K20:$K22)</f>
        <v>0.1936108422</v>
      </c>
      <c r="BI72" s="45">
        <f>MIN(Phi!$K23:$K25)</f>
        <v>0.2158273381</v>
      </c>
      <c r="BJ72" s="45">
        <f>MIN(Phi!$L20:$L22)</f>
        <v>0</v>
      </c>
      <c r="BK72" s="45">
        <f>MIN(Phi!$L23:$L25)</f>
        <v>0</v>
      </c>
      <c r="BL72" s="45">
        <f>MIN(Phi!$M20:$M22)</f>
        <v>0</v>
      </c>
      <c r="BM72" s="45">
        <f>MIN(Phi!$M23:$M25)</f>
        <v>0</v>
      </c>
      <c r="BN72" s="45">
        <f>MIN(Phi!$N20:$N22)</f>
        <v>0.7693519592</v>
      </c>
      <c r="BO72" s="45">
        <f>MIN(Phi!$N23:$N25)</f>
        <v>0.7023139</v>
      </c>
      <c r="BP72" s="45">
        <f>MIN(Phi!$O20:$O22)</f>
        <v>0.7693519592</v>
      </c>
      <c r="BQ72" s="45">
        <f>MIN(Phi!$O23:$O25)</f>
        <v>0.7023139</v>
      </c>
      <c r="BS72" s="44" t="s">
        <v>105</v>
      </c>
      <c r="BT72" s="45">
        <f>MIN(Phi!$J26:$J28)</f>
        <v>0.1624365482</v>
      </c>
      <c r="BU72" s="45">
        <f>MIN(Phi!$J29:$J31)</f>
        <v>0.1679929266</v>
      </c>
      <c r="BV72" s="45">
        <f>MIN(Phi!$K26:$K28)</f>
        <v>0.2152284264</v>
      </c>
      <c r="BW72" s="45">
        <f>MIN(Phi!$K29:$K31)</f>
        <v>0.2309090909</v>
      </c>
      <c r="BX72" s="45">
        <f>MIN(Phi!$L26:$L28)</f>
        <v>0</v>
      </c>
      <c r="BY72" s="45">
        <f>MIN(Phi!$L29:$L31)</f>
        <v>0</v>
      </c>
      <c r="BZ72" s="45">
        <f>MIN(Phi!$M26:$M28)</f>
        <v>0</v>
      </c>
      <c r="CA72" s="45">
        <f>MIN(Phi!$M29:$M31)</f>
        <v>0</v>
      </c>
      <c r="CB72" s="45">
        <f>MIN(Phi!$N26:$N28)</f>
        <v>0.7693519592</v>
      </c>
      <c r="CC72" s="45">
        <f>MIN(Phi!$N29:$N31)</f>
        <v>0.7023139</v>
      </c>
      <c r="CD72" s="45">
        <f>MIN(Phi!$O26:$O28)</f>
        <v>0.7693519592</v>
      </c>
      <c r="CE72" s="45">
        <f>MIN(Phi!$O29:$O31)</f>
        <v>0.7023139</v>
      </c>
      <c r="CG72" s="44" t="s">
        <v>105</v>
      </c>
      <c r="CH72" s="45">
        <f>MIN(Phi!$J32:$J34)</f>
        <v>0.1694599628</v>
      </c>
      <c r="CI72" s="45">
        <f>MIN(Phi!$J35:$J37)</f>
        <v>0.1672131148</v>
      </c>
      <c r="CJ72" s="45">
        <f>MIN(Phi!$K32:$K34)</f>
        <v>0.2253258845</v>
      </c>
      <c r="CK72" s="45">
        <f>MIN(Phi!$K35:$K37)</f>
        <v>0.225498699</v>
      </c>
      <c r="CL72" s="45">
        <f>MIN(Phi!$L32:$L34)</f>
        <v>0</v>
      </c>
      <c r="CM72" s="45">
        <f>MIN(Phi!$L35:$L37)</f>
        <v>0</v>
      </c>
      <c r="CN72" s="45">
        <f>MIN(Phi!$M32:$M34)</f>
        <v>0</v>
      </c>
      <c r="CO72" s="45">
        <f>MIN(Phi!$M35:$M37)</f>
        <v>0</v>
      </c>
      <c r="CP72" s="45">
        <f>MIN(Phi!$N32:$N34)</f>
        <v>0.7693519592</v>
      </c>
      <c r="CQ72" s="45">
        <f>MIN(Phi!$N35:$N37)</f>
        <v>0.7023139</v>
      </c>
      <c r="CR72" s="45">
        <f>MIN(Phi!$O32:$O34)</f>
        <v>0.7693519592</v>
      </c>
      <c r="CS72" s="45">
        <f>MIN(Phi!$O35:$O37)</f>
        <v>0.7023139</v>
      </c>
    </row>
    <row r="73" ht="15.0" customHeight="1">
      <c r="A73" s="46" t="s">
        <v>106</v>
      </c>
      <c r="B73" s="47">
        <f t="shared" ref="B73:B77" si="127">SUM(B68, -C68)</f>
        <v>-0.01847664037</v>
      </c>
      <c r="C73" s="24"/>
      <c r="D73" s="47">
        <f t="shared" ref="D73:D77" si="128">SUM(D68, -E68)</f>
        <v>-0.0008286934208</v>
      </c>
      <c r="E73" s="24"/>
      <c r="F73" s="47">
        <f t="shared" ref="F73:F77" si="129">SUM(F68, -G68)</f>
        <v>0</v>
      </c>
      <c r="G73" s="24"/>
      <c r="H73" s="47">
        <f t="shared" ref="H73:H77" si="130">SUM(H68, -I68)</f>
        <v>0</v>
      </c>
      <c r="I73" s="24"/>
      <c r="J73" s="47">
        <f t="shared" ref="J73:J77" si="131">SUM(J68, -K68)</f>
        <v>0</v>
      </c>
      <c r="K73" s="24"/>
      <c r="L73" s="47">
        <f t="shared" ref="L73:L77" si="132">SUM(L68, -M68)</f>
        <v>0</v>
      </c>
      <c r="M73" s="24"/>
      <c r="O73" s="48" t="s">
        <v>106</v>
      </c>
      <c r="P73" s="49">
        <f t="shared" ref="P73:P77" si="133">SUM(P68, -Q68)</f>
        <v>-0.02305474783</v>
      </c>
      <c r="Q73" s="24"/>
      <c r="R73" s="49">
        <f t="shared" ref="R73:R77" si="134">SUM(R68, -S68)</f>
        <v>0.006790011121</v>
      </c>
      <c r="S73" s="24"/>
      <c r="T73" s="49">
        <f t="shared" ref="T73:T77" si="135">SUM(T68, -U68)</f>
        <v>0</v>
      </c>
      <c r="U73" s="24"/>
      <c r="V73" s="49">
        <f t="shared" ref="V73:V77" si="136">SUM(V68, -W68)</f>
        <v>0</v>
      </c>
      <c r="W73" s="24"/>
      <c r="X73" s="49">
        <f t="shared" ref="X73:X77" si="137">SUM(X68, -Y68)</f>
        <v>0</v>
      </c>
      <c r="Y73" s="24"/>
      <c r="Z73" s="49">
        <f t="shared" ref="Z73:Z77" si="138">SUM(Z68, -AA68)</f>
        <v>0</v>
      </c>
      <c r="AA73" s="24"/>
      <c r="AC73" s="48" t="s">
        <v>106</v>
      </c>
      <c r="AD73" s="49">
        <f t="shared" ref="AD73:AD77" si="139">SUM(AD68, -AE68)</f>
        <v>-0.01847664037</v>
      </c>
      <c r="AE73" s="24"/>
      <c r="AF73" s="49">
        <f t="shared" ref="AF73:AF77" si="140">SUM(AF68, -AG68)</f>
        <v>-0.0008286934208</v>
      </c>
      <c r="AG73" s="24"/>
      <c r="AH73" s="49">
        <f t="shared" ref="AH73:AH77" si="141">SUM(AH68, -AI68)</f>
        <v>0</v>
      </c>
      <c r="AI73" s="24"/>
      <c r="AJ73" s="49">
        <f t="shared" ref="AJ73:AJ77" si="142">SUM(AJ68, -AK68)</f>
        <v>0</v>
      </c>
      <c r="AK73" s="24"/>
      <c r="AL73" s="49">
        <f t="shared" ref="AL73:AL77" si="143">SUM(AL68, -AM68)</f>
        <v>0</v>
      </c>
      <c r="AM73" s="24"/>
      <c r="AN73" s="49">
        <f t="shared" ref="AN73:AN77" si="144">SUM(AN68, -AO68)</f>
        <v>0</v>
      </c>
      <c r="AO73" s="24"/>
      <c r="AQ73" s="48" t="s">
        <v>106</v>
      </c>
      <c r="AR73" s="49">
        <f t="shared" ref="AR73:AR77" si="145">SUM(AR68, -AS68)</f>
        <v>-0.0242471665</v>
      </c>
      <c r="AS73" s="24"/>
      <c r="AT73" s="49">
        <f t="shared" ref="AT73:AT77" si="146">SUM(AT68, -AU68)</f>
        <v>0.003471333049</v>
      </c>
      <c r="AU73" s="24"/>
      <c r="AV73" s="49">
        <f t="shared" ref="AV73:AV77" si="147">SUM(AV68, -AW68)</f>
        <v>0</v>
      </c>
      <c r="AW73" s="24"/>
      <c r="AX73" s="49">
        <f t="shared" ref="AX73:AX77" si="148">SUM(AX68, -AY68)</f>
        <v>0</v>
      </c>
      <c r="AY73" s="24"/>
      <c r="AZ73" s="49">
        <f t="shared" ref="AZ73:AZ77" si="149">SUM(AZ68, -BA68)</f>
        <v>0</v>
      </c>
      <c r="BA73" s="24"/>
      <c r="BB73" s="49">
        <f t="shared" ref="BB73:BB77" si="150">SUM(BB68, -BC68)</f>
        <v>0</v>
      </c>
      <c r="BC73" s="24"/>
      <c r="BE73" s="48" t="s">
        <v>106</v>
      </c>
      <c r="BF73" s="49">
        <f t="shared" ref="BF73:BF77" si="151">SUM(BF68, -BG68)</f>
        <v>-0.01366550478</v>
      </c>
      <c r="BG73" s="24"/>
      <c r="BH73" s="49">
        <f t="shared" ref="BH73:BH77" si="152">SUM(BH68, -BI68)</f>
        <v>-0.0003974135005</v>
      </c>
      <c r="BI73" s="24"/>
      <c r="BJ73" s="49">
        <f t="shared" ref="BJ73:BJ77" si="153">SUM(BJ68, -BK68)</f>
        <v>0</v>
      </c>
      <c r="BK73" s="24"/>
      <c r="BL73" s="49">
        <f t="shared" ref="BL73:BL77" si="154">SUM(BL68, -BM68)</f>
        <v>0</v>
      </c>
      <c r="BM73" s="24"/>
      <c r="BN73" s="49">
        <f t="shared" ref="BN73:BN77" si="155">SUM(BN68, -BO68)</f>
        <v>0</v>
      </c>
      <c r="BO73" s="24"/>
      <c r="BP73" s="49">
        <f t="shared" ref="BP73:BP77" si="156">SUM(BP68, -BQ68)</f>
        <v>0</v>
      </c>
      <c r="BQ73" s="24"/>
      <c r="BS73" s="48" t="s">
        <v>106</v>
      </c>
      <c r="BT73" s="49">
        <f t="shared" ref="BT73:BT77" si="157">SUM(BT68, -BU68)</f>
        <v>-0.02357242748</v>
      </c>
      <c r="BU73" s="24"/>
      <c r="BV73" s="49">
        <f t="shared" ref="BV73:BV77" si="158">SUM(BV68, -BW68)</f>
        <v>0.010792965</v>
      </c>
      <c r="BW73" s="24"/>
      <c r="BX73" s="49">
        <f t="shared" ref="BX73:BX77" si="159">SUM(BX68, -BY68)</f>
        <v>0</v>
      </c>
      <c r="BY73" s="24"/>
      <c r="BZ73" s="49">
        <f t="shared" ref="BZ73:BZ77" si="160">SUM(BZ68, -CA68)</f>
        <v>0</v>
      </c>
      <c r="CA73" s="24"/>
      <c r="CB73" s="49">
        <f t="shared" ref="CB73:CB77" si="161">SUM(CB68, -CC68)</f>
        <v>0</v>
      </c>
      <c r="CC73" s="24"/>
      <c r="CD73" s="49">
        <f t="shared" ref="CD73:CD77" si="162">SUM(CD68, -CE68)</f>
        <v>0</v>
      </c>
      <c r="CE73" s="24"/>
      <c r="CG73" s="48" t="s">
        <v>106</v>
      </c>
      <c r="CH73" s="49">
        <f t="shared" ref="CH73:CH77" si="163">SUM(CH68, -CI68)</f>
        <v>-0.01511242644</v>
      </c>
      <c r="CI73" s="24"/>
      <c r="CJ73" s="49">
        <f t="shared" ref="CJ73:CJ77" si="164">SUM(CJ68, -CK68)</f>
        <v>0.02509518302</v>
      </c>
      <c r="CK73" s="24"/>
      <c r="CL73" s="49">
        <f t="shared" ref="CL73:CL77" si="165">SUM(CL68, -CM68)</f>
        <v>0</v>
      </c>
      <c r="CM73" s="24"/>
      <c r="CN73" s="49">
        <f t="shared" ref="CN73:CN77" si="166">SUM(CN68, -CO68)</f>
        <v>0</v>
      </c>
      <c r="CO73" s="24"/>
      <c r="CP73" s="49">
        <f t="shared" ref="CP73:CP77" si="167">SUM(CP68, -CQ68)</f>
        <v>0</v>
      </c>
      <c r="CQ73" s="24"/>
      <c r="CR73" s="49">
        <f t="shared" ref="CR73:CR77" si="168">SUM(CR68, -CS68)</f>
        <v>0</v>
      </c>
      <c r="CS73" s="24"/>
    </row>
    <row r="74" ht="15.75" customHeight="1">
      <c r="A74" s="36"/>
      <c r="B74" s="47">
        <f t="shared" si="127"/>
        <v>0.0230187057</v>
      </c>
      <c r="C74" s="24"/>
      <c r="D74" s="47">
        <f t="shared" si="128"/>
        <v>0.04532546263</v>
      </c>
      <c r="E74" s="24"/>
      <c r="F74" s="47">
        <f t="shared" si="129"/>
        <v>0</v>
      </c>
      <c r="G74" s="24"/>
      <c r="H74" s="47">
        <f t="shared" si="130"/>
        <v>0</v>
      </c>
      <c r="I74" s="24"/>
      <c r="J74" s="47">
        <f t="shared" si="131"/>
        <v>0</v>
      </c>
      <c r="K74" s="24"/>
      <c r="L74" s="47">
        <f t="shared" si="132"/>
        <v>0.06704318523</v>
      </c>
      <c r="M74" s="24"/>
      <c r="O74" s="36"/>
      <c r="P74" s="49">
        <f t="shared" si="133"/>
        <v>0.006990874839</v>
      </c>
      <c r="Q74" s="24"/>
      <c r="R74" s="49">
        <f t="shared" si="134"/>
        <v>0.06378213321</v>
      </c>
      <c r="S74" s="24"/>
      <c r="T74" s="49">
        <f t="shared" si="135"/>
        <v>0</v>
      </c>
      <c r="U74" s="24"/>
      <c r="V74" s="49">
        <f t="shared" si="136"/>
        <v>0</v>
      </c>
      <c r="W74" s="24"/>
      <c r="X74" s="49">
        <f t="shared" si="137"/>
        <v>-0.1254441142</v>
      </c>
      <c r="Y74" s="24"/>
      <c r="Z74" s="49">
        <f t="shared" si="138"/>
        <v>-0.1534480453</v>
      </c>
      <c r="AA74" s="24"/>
      <c r="AC74" s="36"/>
      <c r="AD74" s="49">
        <f t="shared" si="139"/>
        <v>0.01046679691</v>
      </c>
      <c r="AE74" s="24"/>
      <c r="AF74" s="49">
        <f t="shared" si="140"/>
        <v>0.01225710015</v>
      </c>
      <c r="AG74" s="24"/>
      <c r="AH74" s="49">
        <f t="shared" si="141"/>
        <v>0</v>
      </c>
      <c r="AI74" s="24"/>
      <c r="AJ74" s="49">
        <f t="shared" si="142"/>
        <v>0</v>
      </c>
      <c r="AK74" s="24"/>
      <c r="AL74" s="49">
        <f t="shared" si="143"/>
        <v>-0.1254441142</v>
      </c>
      <c r="AM74" s="24"/>
      <c r="AN74" s="49">
        <f t="shared" si="144"/>
        <v>-0.01266276836</v>
      </c>
      <c r="AO74" s="24"/>
      <c r="AQ74" s="36"/>
      <c r="AR74" s="49">
        <f t="shared" si="145"/>
        <v>0.009150849151</v>
      </c>
      <c r="AS74" s="24"/>
      <c r="AT74" s="49">
        <f t="shared" si="146"/>
        <v>0.05684751386</v>
      </c>
      <c r="AU74" s="24"/>
      <c r="AV74" s="49">
        <f t="shared" si="147"/>
        <v>0</v>
      </c>
      <c r="AW74" s="24"/>
      <c r="AX74" s="49">
        <f t="shared" si="148"/>
        <v>0</v>
      </c>
      <c r="AY74" s="24"/>
      <c r="AZ74" s="49">
        <f t="shared" si="149"/>
        <v>-0.1254441142</v>
      </c>
      <c r="BA74" s="24"/>
      <c r="BB74" s="49">
        <f t="shared" si="150"/>
        <v>-0.1254441142</v>
      </c>
      <c r="BC74" s="24"/>
      <c r="BE74" s="36"/>
      <c r="BF74" s="49">
        <f t="shared" si="151"/>
        <v>0.004448953171</v>
      </c>
      <c r="BG74" s="24"/>
      <c r="BH74" s="49">
        <f t="shared" si="152"/>
        <v>0.0428843077</v>
      </c>
      <c r="BI74" s="24"/>
      <c r="BJ74" s="49">
        <f t="shared" si="153"/>
        <v>0</v>
      </c>
      <c r="BK74" s="24"/>
      <c r="BL74" s="49">
        <f t="shared" si="154"/>
        <v>0</v>
      </c>
      <c r="BM74" s="24"/>
      <c r="BN74" s="49">
        <f t="shared" si="155"/>
        <v>-0.1254441142</v>
      </c>
      <c r="BO74" s="24"/>
      <c r="BP74" s="49">
        <f t="shared" si="156"/>
        <v>-0.1254441142</v>
      </c>
      <c r="BQ74" s="24"/>
      <c r="BS74" s="36"/>
      <c r="BT74" s="49">
        <f t="shared" si="157"/>
        <v>-0.008769124734</v>
      </c>
      <c r="BU74" s="24"/>
      <c r="BV74" s="49">
        <f t="shared" si="158"/>
        <v>0.02073873375</v>
      </c>
      <c r="BW74" s="24"/>
      <c r="BX74" s="49">
        <f t="shared" si="159"/>
        <v>0</v>
      </c>
      <c r="BY74" s="24"/>
      <c r="BZ74" s="49">
        <f t="shared" si="160"/>
        <v>0</v>
      </c>
      <c r="CA74" s="24"/>
      <c r="CB74" s="49">
        <f t="shared" si="161"/>
        <v>-0.1254441142</v>
      </c>
      <c r="CC74" s="24"/>
      <c r="CD74" s="49">
        <f t="shared" si="162"/>
        <v>-0.1254441142</v>
      </c>
      <c r="CE74" s="24"/>
      <c r="CG74" s="36"/>
      <c r="CH74" s="49">
        <f t="shared" si="163"/>
        <v>-0.008006535948</v>
      </c>
      <c r="CI74" s="24"/>
      <c r="CJ74" s="49">
        <f t="shared" si="164"/>
        <v>0.02271708683</v>
      </c>
      <c r="CK74" s="24"/>
      <c r="CL74" s="49">
        <f t="shared" si="165"/>
        <v>0</v>
      </c>
      <c r="CM74" s="24"/>
      <c r="CN74" s="49">
        <f t="shared" si="166"/>
        <v>0</v>
      </c>
      <c r="CO74" s="24"/>
      <c r="CP74" s="49">
        <f t="shared" si="167"/>
        <v>-0.1254441142</v>
      </c>
      <c r="CQ74" s="24"/>
      <c r="CR74" s="49">
        <f t="shared" si="168"/>
        <v>-0.1254441142</v>
      </c>
      <c r="CS74" s="24"/>
    </row>
    <row r="75" ht="15.75" customHeight="1">
      <c r="A75" s="36"/>
      <c r="B75" s="47">
        <f t="shared" si="127"/>
        <v>-0.005269110951</v>
      </c>
      <c r="C75" s="24"/>
      <c r="D75" s="47">
        <f t="shared" si="128"/>
        <v>-0.02089331857</v>
      </c>
      <c r="E75" s="24"/>
      <c r="F75" s="47">
        <f t="shared" si="129"/>
        <v>0</v>
      </c>
      <c r="G75" s="24"/>
      <c r="H75" s="47">
        <f t="shared" si="130"/>
        <v>0</v>
      </c>
      <c r="I75" s="24"/>
      <c r="J75" s="47">
        <f t="shared" si="131"/>
        <v>-0.2306479812</v>
      </c>
      <c r="K75" s="24"/>
      <c r="L75" s="47">
        <f t="shared" si="132"/>
        <v>-0.06704318523</v>
      </c>
      <c r="M75" s="24"/>
      <c r="O75" s="36"/>
      <c r="P75" s="49">
        <f t="shared" si="133"/>
        <v>-0.006066934404</v>
      </c>
      <c r="Q75" s="24"/>
      <c r="R75" s="49">
        <f t="shared" si="134"/>
        <v>0.002267820816</v>
      </c>
      <c r="S75" s="24"/>
      <c r="T75" s="49">
        <f t="shared" si="135"/>
        <v>0</v>
      </c>
      <c r="U75" s="24"/>
      <c r="V75" s="49">
        <f t="shared" si="136"/>
        <v>0</v>
      </c>
      <c r="W75" s="24"/>
      <c r="X75" s="49">
        <f t="shared" si="137"/>
        <v>-0.2306479812</v>
      </c>
      <c r="Y75" s="24"/>
      <c r="Z75" s="49">
        <f t="shared" si="138"/>
        <v>-0.01180690527</v>
      </c>
      <c r="AA75" s="24"/>
      <c r="AC75" s="36"/>
      <c r="AD75" s="49">
        <f t="shared" si="139"/>
        <v>-0.01459058184</v>
      </c>
      <c r="AE75" s="24"/>
      <c r="AF75" s="49">
        <f t="shared" si="140"/>
        <v>-0.0034760204</v>
      </c>
      <c r="AG75" s="24"/>
      <c r="AH75" s="49">
        <f t="shared" si="141"/>
        <v>0</v>
      </c>
      <c r="AI75" s="24"/>
      <c r="AJ75" s="49">
        <f t="shared" si="142"/>
        <v>0</v>
      </c>
      <c r="AK75" s="24"/>
      <c r="AL75" s="49">
        <f t="shared" si="143"/>
        <v>-0.2306479812</v>
      </c>
      <c r="AM75" s="24"/>
      <c r="AN75" s="49">
        <f t="shared" si="144"/>
        <v>-0.06704318523</v>
      </c>
      <c r="AO75" s="24"/>
      <c r="AQ75" s="36"/>
      <c r="AR75" s="49">
        <f t="shared" si="145"/>
        <v>0.004942294441</v>
      </c>
      <c r="AS75" s="24"/>
      <c r="AT75" s="49">
        <f t="shared" si="146"/>
        <v>0.02410130104</v>
      </c>
      <c r="AU75" s="24"/>
      <c r="AV75" s="49">
        <f t="shared" si="147"/>
        <v>0</v>
      </c>
      <c r="AW75" s="24"/>
      <c r="AX75" s="49">
        <f t="shared" si="148"/>
        <v>0</v>
      </c>
      <c r="AY75" s="24"/>
      <c r="AZ75" s="49">
        <f t="shared" si="149"/>
        <v>-0.2306479812</v>
      </c>
      <c r="BA75" s="24"/>
      <c r="BB75" s="49">
        <f t="shared" si="150"/>
        <v>-0.2306479812</v>
      </c>
      <c r="BC75" s="24"/>
      <c r="BE75" s="36"/>
      <c r="BF75" s="49">
        <f t="shared" si="151"/>
        <v>0.0008952080042</v>
      </c>
      <c r="BG75" s="24"/>
      <c r="BH75" s="49">
        <f t="shared" si="152"/>
        <v>-0.03693673362</v>
      </c>
      <c r="BI75" s="24"/>
      <c r="BJ75" s="49">
        <f t="shared" si="153"/>
        <v>0</v>
      </c>
      <c r="BK75" s="24"/>
      <c r="BL75" s="49">
        <f t="shared" si="154"/>
        <v>0</v>
      </c>
      <c r="BM75" s="24"/>
      <c r="BN75" s="49">
        <f t="shared" si="155"/>
        <v>-0.2306479812</v>
      </c>
      <c r="BO75" s="24"/>
      <c r="BP75" s="49">
        <f t="shared" si="156"/>
        <v>-0.2306479812</v>
      </c>
      <c r="BQ75" s="24"/>
      <c r="BS75" s="36"/>
      <c r="BT75" s="49">
        <f t="shared" si="157"/>
        <v>-0.0008138787749</v>
      </c>
      <c r="BU75" s="24"/>
      <c r="BV75" s="49">
        <f t="shared" si="158"/>
        <v>0.016679837</v>
      </c>
      <c r="BW75" s="24"/>
      <c r="BX75" s="49">
        <f t="shared" si="159"/>
        <v>0</v>
      </c>
      <c r="BY75" s="24"/>
      <c r="BZ75" s="49">
        <f t="shared" si="160"/>
        <v>0</v>
      </c>
      <c r="CA75" s="24"/>
      <c r="CB75" s="49">
        <f t="shared" si="161"/>
        <v>-0.2306479812</v>
      </c>
      <c r="CC75" s="24"/>
      <c r="CD75" s="49">
        <f t="shared" si="162"/>
        <v>-0.2306479812</v>
      </c>
      <c r="CE75" s="24"/>
      <c r="CG75" s="36"/>
      <c r="CH75" s="49">
        <f t="shared" si="163"/>
        <v>0.002165386334</v>
      </c>
      <c r="CI75" s="24"/>
      <c r="CJ75" s="49">
        <f t="shared" si="164"/>
        <v>0.006399427536</v>
      </c>
      <c r="CK75" s="24"/>
      <c r="CL75" s="49">
        <f t="shared" si="165"/>
        <v>0</v>
      </c>
      <c r="CM75" s="24"/>
      <c r="CN75" s="49">
        <f t="shared" si="166"/>
        <v>0</v>
      </c>
      <c r="CO75" s="24"/>
      <c r="CP75" s="49">
        <f t="shared" si="167"/>
        <v>-0.2306479812</v>
      </c>
      <c r="CQ75" s="24"/>
      <c r="CR75" s="49">
        <f t="shared" si="168"/>
        <v>-0.2306479812</v>
      </c>
      <c r="CS75" s="24"/>
    </row>
    <row r="76" ht="15.75" customHeight="1">
      <c r="A76" s="36"/>
      <c r="B76" s="47">
        <f t="shared" si="127"/>
        <v>-0.001180492524</v>
      </c>
      <c r="C76" s="24"/>
      <c r="D76" s="47">
        <f t="shared" si="128"/>
        <v>-0.00357138227</v>
      </c>
      <c r="E76" s="24"/>
      <c r="F76" s="47">
        <f t="shared" si="129"/>
        <v>0</v>
      </c>
      <c r="G76" s="24"/>
      <c r="H76" s="47">
        <f t="shared" si="130"/>
        <v>0</v>
      </c>
      <c r="I76" s="24"/>
      <c r="J76" s="47">
        <f t="shared" si="131"/>
        <v>-0.2306479812</v>
      </c>
      <c r="K76" s="24"/>
      <c r="L76" s="47">
        <f t="shared" si="132"/>
        <v>-0.06704318523</v>
      </c>
      <c r="M76" s="24"/>
      <c r="O76" s="36"/>
      <c r="P76" s="49">
        <f t="shared" si="133"/>
        <v>0.00603658025</v>
      </c>
      <c r="Q76" s="24"/>
      <c r="R76" s="49">
        <f t="shared" si="134"/>
        <v>0.01222837486</v>
      </c>
      <c r="S76" s="24"/>
      <c r="T76" s="49">
        <f t="shared" si="135"/>
        <v>0</v>
      </c>
      <c r="U76" s="24"/>
      <c r="V76" s="49">
        <f t="shared" si="136"/>
        <v>0</v>
      </c>
      <c r="W76" s="24"/>
      <c r="X76" s="49">
        <f t="shared" si="137"/>
        <v>-0.2306479812</v>
      </c>
      <c r="Y76" s="24"/>
      <c r="Z76" s="49">
        <f t="shared" si="138"/>
        <v>-0.01180690527</v>
      </c>
      <c r="AA76" s="24"/>
      <c r="AC76" s="36"/>
      <c r="AD76" s="49">
        <f t="shared" si="139"/>
        <v>-0.004217342511</v>
      </c>
      <c r="AE76" s="24"/>
      <c r="AF76" s="49">
        <f t="shared" si="140"/>
        <v>-0.00357138227</v>
      </c>
      <c r="AG76" s="24"/>
      <c r="AH76" s="49">
        <f t="shared" si="141"/>
        <v>0</v>
      </c>
      <c r="AI76" s="24"/>
      <c r="AJ76" s="49">
        <f t="shared" si="142"/>
        <v>0</v>
      </c>
      <c r="AK76" s="24"/>
      <c r="AL76" s="49">
        <f t="shared" si="143"/>
        <v>-0.2306479812</v>
      </c>
      <c r="AM76" s="24"/>
      <c r="AN76" s="49">
        <f t="shared" si="144"/>
        <v>-0.06704318523</v>
      </c>
      <c r="AO76" s="24"/>
      <c r="AQ76" s="36"/>
      <c r="AR76" s="49">
        <f t="shared" si="145"/>
        <v>0.003735820323</v>
      </c>
      <c r="AS76" s="24"/>
      <c r="AT76" s="49">
        <f t="shared" si="146"/>
        <v>-0.002678238486</v>
      </c>
      <c r="AU76" s="24"/>
      <c r="AV76" s="49">
        <f t="shared" si="147"/>
        <v>0</v>
      </c>
      <c r="AW76" s="24"/>
      <c r="AX76" s="49">
        <f t="shared" si="148"/>
        <v>0</v>
      </c>
      <c r="AY76" s="24"/>
      <c r="AZ76" s="49">
        <f t="shared" si="149"/>
        <v>-0.2306479812</v>
      </c>
      <c r="BA76" s="24"/>
      <c r="BB76" s="49">
        <f t="shared" si="150"/>
        <v>-0.2306479812</v>
      </c>
      <c r="BC76" s="24"/>
      <c r="BE76" s="36"/>
      <c r="BF76" s="49">
        <f t="shared" si="151"/>
        <v>-0.005028255728</v>
      </c>
      <c r="BG76" s="24"/>
      <c r="BH76" s="49">
        <f t="shared" si="152"/>
        <v>0.0003738151628</v>
      </c>
      <c r="BI76" s="24"/>
      <c r="BJ76" s="49">
        <f t="shared" si="153"/>
        <v>0</v>
      </c>
      <c r="BK76" s="24"/>
      <c r="BL76" s="49">
        <f t="shared" si="154"/>
        <v>0</v>
      </c>
      <c r="BM76" s="24"/>
      <c r="BN76" s="49">
        <f t="shared" si="155"/>
        <v>-0.2306479812</v>
      </c>
      <c r="BO76" s="24"/>
      <c r="BP76" s="49">
        <f t="shared" si="156"/>
        <v>-0.2306479812</v>
      </c>
      <c r="BQ76" s="24"/>
      <c r="BS76" s="36"/>
      <c r="BT76" s="49">
        <f t="shared" si="157"/>
        <v>0.01207594149</v>
      </c>
      <c r="BU76" s="24"/>
      <c r="BV76" s="49">
        <f t="shared" si="158"/>
        <v>0.03239113827</v>
      </c>
      <c r="BW76" s="24"/>
      <c r="BX76" s="49">
        <f t="shared" si="159"/>
        <v>0</v>
      </c>
      <c r="BY76" s="24"/>
      <c r="BZ76" s="49">
        <f t="shared" si="160"/>
        <v>0</v>
      </c>
      <c r="CA76" s="24"/>
      <c r="CB76" s="49">
        <f t="shared" si="161"/>
        <v>-0.2306479812</v>
      </c>
      <c r="CC76" s="24"/>
      <c r="CD76" s="49">
        <f t="shared" si="162"/>
        <v>-0.2306479812</v>
      </c>
      <c r="CE76" s="24"/>
      <c r="CG76" s="36"/>
      <c r="CH76" s="49">
        <f t="shared" si="163"/>
        <v>0.008807451361</v>
      </c>
      <c r="CI76" s="24"/>
      <c r="CJ76" s="49">
        <f t="shared" si="164"/>
        <v>0.01562663318</v>
      </c>
      <c r="CK76" s="24"/>
      <c r="CL76" s="49">
        <f t="shared" si="165"/>
        <v>0</v>
      </c>
      <c r="CM76" s="24"/>
      <c r="CN76" s="49">
        <f t="shared" si="166"/>
        <v>0</v>
      </c>
      <c r="CO76" s="24"/>
      <c r="CP76" s="49">
        <f t="shared" si="167"/>
        <v>-0.2306479812</v>
      </c>
      <c r="CQ76" s="24"/>
      <c r="CR76" s="49">
        <f t="shared" si="168"/>
        <v>-0.2306479812</v>
      </c>
      <c r="CS76" s="24"/>
    </row>
    <row r="77" ht="15.75" customHeight="1">
      <c r="A77" s="37"/>
      <c r="B77" s="47">
        <f t="shared" si="127"/>
        <v>-0.01076243344</v>
      </c>
      <c r="C77" s="24"/>
      <c r="D77" s="47">
        <f t="shared" si="128"/>
        <v>-0.01005609981</v>
      </c>
      <c r="E77" s="24"/>
      <c r="F77" s="47">
        <f t="shared" si="129"/>
        <v>0</v>
      </c>
      <c r="G77" s="24"/>
      <c r="H77" s="47">
        <f t="shared" si="130"/>
        <v>0</v>
      </c>
      <c r="I77" s="24"/>
      <c r="J77" s="47">
        <f t="shared" si="131"/>
        <v>0.06703805923</v>
      </c>
      <c r="K77" s="24"/>
      <c r="L77" s="47">
        <f t="shared" si="132"/>
        <v>0</v>
      </c>
      <c r="M77" s="24"/>
      <c r="O77" s="37"/>
      <c r="P77" s="49">
        <f t="shared" si="133"/>
        <v>-0.02263971859</v>
      </c>
      <c r="Q77" s="24"/>
      <c r="R77" s="49">
        <f t="shared" si="134"/>
        <v>-0.0213084346</v>
      </c>
      <c r="S77" s="24"/>
      <c r="T77" s="49">
        <f t="shared" si="135"/>
        <v>0</v>
      </c>
      <c r="U77" s="24"/>
      <c r="V77" s="49">
        <f t="shared" si="136"/>
        <v>0</v>
      </c>
      <c r="W77" s="24"/>
      <c r="X77" s="49">
        <f t="shared" si="137"/>
        <v>0.06703805923</v>
      </c>
      <c r="Y77" s="24"/>
      <c r="Z77" s="49">
        <f t="shared" si="138"/>
        <v>0.122333169</v>
      </c>
      <c r="AA77" s="24"/>
      <c r="AC77" s="37"/>
      <c r="AD77" s="49">
        <f t="shared" si="139"/>
        <v>0.001416857444</v>
      </c>
      <c r="AE77" s="24"/>
      <c r="AF77" s="49">
        <f t="shared" si="140"/>
        <v>-0.01005609981</v>
      </c>
      <c r="AG77" s="24"/>
      <c r="AH77" s="49">
        <f t="shared" si="141"/>
        <v>0</v>
      </c>
      <c r="AI77" s="24"/>
      <c r="AJ77" s="49">
        <f t="shared" si="142"/>
        <v>0</v>
      </c>
      <c r="AK77" s="24"/>
      <c r="AL77" s="49">
        <f t="shared" si="143"/>
        <v>0.06703805923</v>
      </c>
      <c r="AM77" s="24"/>
      <c r="AN77" s="49">
        <f t="shared" si="144"/>
        <v>0</v>
      </c>
      <c r="AO77" s="24"/>
      <c r="AQ77" s="37"/>
      <c r="AR77" s="49">
        <f t="shared" si="145"/>
        <v>-0.02171344713</v>
      </c>
      <c r="AS77" s="24"/>
      <c r="AT77" s="49">
        <f t="shared" si="146"/>
        <v>-0.02795637672</v>
      </c>
      <c r="AU77" s="24"/>
      <c r="AV77" s="49">
        <f t="shared" si="147"/>
        <v>0</v>
      </c>
      <c r="AW77" s="24"/>
      <c r="AX77" s="49">
        <f t="shared" si="148"/>
        <v>0</v>
      </c>
      <c r="AY77" s="24"/>
      <c r="AZ77" s="49">
        <f t="shared" si="149"/>
        <v>0.06703805923</v>
      </c>
      <c r="BA77" s="24"/>
      <c r="BB77" s="49">
        <f t="shared" si="150"/>
        <v>0.06703805923</v>
      </c>
      <c r="BC77" s="24"/>
      <c r="BE77" s="37"/>
      <c r="BF77" s="49">
        <f t="shared" si="151"/>
        <v>0.001479587522</v>
      </c>
      <c r="BG77" s="24"/>
      <c r="BH77" s="49">
        <f t="shared" si="152"/>
        <v>-0.02221649592</v>
      </c>
      <c r="BI77" s="24"/>
      <c r="BJ77" s="49">
        <f t="shared" si="153"/>
        <v>0</v>
      </c>
      <c r="BK77" s="24"/>
      <c r="BL77" s="49">
        <f t="shared" si="154"/>
        <v>0</v>
      </c>
      <c r="BM77" s="24"/>
      <c r="BN77" s="49">
        <f t="shared" si="155"/>
        <v>0.06703805923</v>
      </c>
      <c r="BO77" s="24"/>
      <c r="BP77" s="49">
        <f t="shared" si="156"/>
        <v>0.06703805923</v>
      </c>
      <c r="BQ77" s="24"/>
      <c r="BS77" s="37"/>
      <c r="BT77" s="49">
        <f t="shared" si="157"/>
        <v>-0.00555637839</v>
      </c>
      <c r="BU77" s="24"/>
      <c r="BV77" s="49">
        <f t="shared" si="158"/>
        <v>-0.01568066451</v>
      </c>
      <c r="BW77" s="24"/>
      <c r="BX77" s="49">
        <f t="shared" si="159"/>
        <v>0</v>
      </c>
      <c r="BY77" s="24"/>
      <c r="BZ77" s="49">
        <f t="shared" si="160"/>
        <v>0</v>
      </c>
      <c r="CA77" s="24"/>
      <c r="CB77" s="49">
        <f t="shared" si="161"/>
        <v>0.06703805923</v>
      </c>
      <c r="CC77" s="24"/>
      <c r="CD77" s="49">
        <f t="shared" si="162"/>
        <v>0.06703805923</v>
      </c>
      <c r="CE77" s="24"/>
      <c r="CG77" s="37"/>
      <c r="CH77" s="49">
        <f t="shared" si="163"/>
        <v>0.002246848002</v>
      </c>
      <c r="CI77" s="24"/>
      <c r="CJ77" s="49">
        <f t="shared" si="164"/>
        <v>-0.0001728145022</v>
      </c>
      <c r="CK77" s="24"/>
      <c r="CL77" s="49">
        <f t="shared" si="165"/>
        <v>0</v>
      </c>
      <c r="CM77" s="24"/>
      <c r="CN77" s="49">
        <f t="shared" si="166"/>
        <v>0</v>
      </c>
      <c r="CO77" s="24"/>
      <c r="CP77" s="49">
        <f t="shared" si="167"/>
        <v>0.06703805923</v>
      </c>
      <c r="CQ77" s="24"/>
      <c r="CR77" s="49">
        <f t="shared" si="168"/>
        <v>0.06703805923</v>
      </c>
      <c r="CS77" s="24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</row>
    <row r="79" ht="15.75" customHeight="1">
      <c r="A79" s="22"/>
      <c r="B79" s="40" t="s">
        <v>3</v>
      </c>
      <c r="C79" s="40" t="s">
        <v>4</v>
      </c>
      <c r="D79" s="40" t="s">
        <v>5</v>
      </c>
      <c r="E79" s="40" t="s">
        <v>6</v>
      </c>
      <c r="F79" s="40" t="s">
        <v>7</v>
      </c>
      <c r="G79" s="40" t="s">
        <v>8</v>
      </c>
      <c r="H79" s="40" t="s">
        <v>9</v>
      </c>
      <c r="I79" s="40" t="s">
        <v>10</v>
      </c>
      <c r="J79" s="40" t="s">
        <v>11</v>
      </c>
      <c r="K79" s="40" t="s">
        <v>12</v>
      </c>
      <c r="L79" s="40" t="s">
        <v>13</v>
      </c>
      <c r="M79" s="40" t="s">
        <v>14</v>
      </c>
      <c r="P79" s="41" t="s">
        <v>3</v>
      </c>
      <c r="Q79" s="41" t="s">
        <v>4</v>
      </c>
      <c r="R79" s="41" t="s">
        <v>5</v>
      </c>
      <c r="S79" s="41" t="s">
        <v>6</v>
      </c>
      <c r="T79" s="41" t="s">
        <v>7</v>
      </c>
      <c r="U79" s="41" t="s">
        <v>8</v>
      </c>
      <c r="V79" s="41" t="s">
        <v>9</v>
      </c>
      <c r="W79" s="41" t="s">
        <v>10</v>
      </c>
      <c r="X79" s="41" t="s">
        <v>11</v>
      </c>
      <c r="Y79" s="41" t="s">
        <v>12</v>
      </c>
      <c r="Z79" s="41" t="s">
        <v>13</v>
      </c>
      <c r="AA79" s="41" t="s">
        <v>14</v>
      </c>
      <c r="AD79" s="41" t="s">
        <v>3</v>
      </c>
      <c r="AE79" s="41" t="s">
        <v>4</v>
      </c>
      <c r="AF79" s="41" t="s">
        <v>5</v>
      </c>
      <c r="AG79" s="41" t="s">
        <v>6</v>
      </c>
      <c r="AH79" s="41" t="s">
        <v>7</v>
      </c>
      <c r="AI79" s="41" t="s">
        <v>8</v>
      </c>
      <c r="AJ79" s="41" t="s">
        <v>9</v>
      </c>
      <c r="AK79" s="41" t="s">
        <v>10</v>
      </c>
      <c r="AL79" s="41" t="s">
        <v>11</v>
      </c>
      <c r="AM79" s="41" t="s">
        <v>12</v>
      </c>
      <c r="AN79" s="41" t="s">
        <v>13</v>
      </c>
      <c r="AO79" s="41" t="s">
        <v>14</v>
      </c>
      <c r="AR79" s="41" t="s">
        <v>3</v>
      </c>
      <c r="AS79" s="41" t="s">
        <v>4</v>
      </c>
      <c r="AT79" s="41" t="s">
        <v>5</v>
      </c>
      <c r="AU79" s="41" t="s">
        <v>6</v>
      </c>
      <c r="AV79" s="41" t="s">
        <v>7</v>
      </c>
      <c r="AW79" s="41" t="s">
        <v>8</v>
      </c>
      <c r="AX79" s="41" t="s">
        <v>9</v>
      </c>
      <c r="AY79" s="41" t="s">
        <v>10</v>
      </c>
      <c r="AZ79" s="41" t="s">
        <v>11</v>
      </c>
      <c r="BA79" s="41" t="s">
        <v>12</v>
      </c>
      <c r="BB79" s="41" t="s">
        <v>13</v>
      </c>
      <c r="BC79" s="41" t="s">
        <v>14</v>
      </c>
      <c r="BF79" s="41" t="s">
        <v>3</v>
      </c>
      <c r="BG79" s="41" t="s">
        <v>4</v>
      </c>
      <c r="BH79" s="41" t="s">
        <v>5</v>
      </c>
      <c r="BI79" s="41" t="s">
        <v>6</v>
      </c>
      <c r="BJ79" s="41" t="s">
        <v>7</v>
      </c>
      <c r="BK79" s="41" t="s">
        <v>8</v>
      </c>
      <c r="BL79" s="41" t="s">
        <v>9</v>
      </c>
      <c r="BM79" s="41" t="s">
        <v>10</v>
      </c>
      <c r="BN79" s="41" t="s">
        <v>11</v>
      </c>
      <c r="BO79" s="41" t="s">
        <v>12</v>
      </c>
      <c r="BP79" s="41" t="s">
        <v>13</v>
      </c>
      <c r="BQ79" s="41" t="s">
        <v>14</v>
      </c>
      <c r="BT79" s="41" t="s">
        <v>3</v>
      </c>
      <c r="BU79" s="41" t="s">
        <v>4</v>
      </c>
      <c r="BV79" s="41" t="s">
        <v>5</v>
      </c>
      <c r="BW79" s="41" t="s">
        <v>6</v>
      </c>
      <c r="BX79" s="41" t="s">
        <v>7</v>
      </c>
      <c r="BY79" s="41" t="s">
        <v>8</v>
      </c>
      <c r="BZ79" s="41" t="s">
        <v>9</v>
      </c>
      <c r="CA79" s="41" t="s">
        <v>10</v>
      </c>
      <c r="CB79" s="41" t="s">
        <v>11</v>
      </c>
      <c r="CC79" s="41" t="s">
        <v>12</v>
      </c>
      <c r="CD79" s="41" t="s">
        <v>13</v>
      </c>
      <c r="CE79" s="41" t="s">
        <v>14</v>
      </c>
      <c r="CH79" s="41" t="s">
        <v>3</v>
      </c>
      <c r="CI79" s="41" t="s">
        <v>4</v>
      </c>
      <c r="CJ79" s="41" t="s">
        <v>5</v>
      </c>
      <c r="CK79" s="41" t="s">
        <v>6</v>
      </c>
      <c r="CL79" s="41" t="s">
        <v>7</v>
      </c>
      <c r="CM79" s="41" t="s">
        <v>8</v>
      </c>
      <c r="CN79" s="41" t="s">
        <v>9</v>
      </c>
      <c r="CO79" s="41" t="s">
        <v>10</v>
      </c>
      <c r="CP79" s="41" t="s">
        <v>11</v>
      </c>
      <c r="CQ79" s="41" t="s">
        <v>12</v>
      </c>
      <c r="CR79" s="41" t="s">
        <v>13</v>
      </c>
      <c r="CS79" s="41" t="s">
        <v>14</v>
      </c>
    </row>
    <row r="80" ht="15.75" customHeight="1">
      <c r="A80" s="42" t="s">
        <v>107</v>
      </c>
      <c r="B80" s="43">
        <f>MIN(Command!D:D)</f>
        <v>0.03984220399</v>
      </c>
      <c r="C80" s="43">
        <f>MIN(Command!E:E)</f>
        <v>0.7074922323</v>
      </c>
      <c r="D80" s="43">
        <f>MIN(Command!F:F)</f>
        <v>0.6972258687</v>
      </c>
      <c r="E80" s="43">
        <f>MIN(Command!G:G)</f>
        <v>0.7055850625</v>
      </c>
      <c r="F80" s="43">
        <f>MIN(Command!H:H)</f>
        <v>0.4505021521</v>
      </c>
      <c r="G80" s="43">
        <f>MIN(Command!I:I)</f>
        <v>0.1025015253</v>
      </c>
      <c r="H80" s="43">
        <f>MIN(Command!J:J)</f>
        <v>0.1739666872</v>
      </c>
      <c r="I80" s="43">
        <f>MIN(Command!K:K)</f>
        <v>0.2427184466</v>
      </c>
      <c r="J80" s="43">
        <f>MIN(Command!L:L)</f>
        <v>0</v>
      </c>
      <c r="K80" s="43">
        <f>MIN(Command!M:M)</f>
        <v>0</v>
      </c>
      <c r="L80" s="43">
        <f>MIN(Command!N:N)</f>
        <v>0.9999999404</v>
      </c>
      <c r="M80" s="43">
        <f>MIN(Command!O:O)</f>
        <v>0.5545380712</v>
      </c>
      <c r="O80" s="44" t="s">
        <v>107</v>
      </c>
      <c r="P80" s="45">
        <f>MIN(Command!D2:D4)</f>
        <v>0.06018273858</v>
      </c>
      <c r="Q80" s="45">
        <f>MIN(Command!E2:E4)</f>
        <v>0.73747015</v>
      </c>
      <c r="R80" s="45">
        <f>MIN(Command!F2:F4)</f>
        <v>0.7388886809</v>
      </c>
      <c r="S80" s="45">
        <f>MIN(Command!G2:G4)</f>
        <v>0.7384114861</v>
      </c>
      <c r="T80" s="45">
        <f>MIN(Command!H2:H4)</f>
        <v>0.4852071006</v>
      </c>
      <c r="U80" s="45">
        <f>MIN(Command!I2:I4)</f>
        <v>0.1374407583</v>
      </c>
      <c r="V80" s="45">
        <f>MIN(Command!J2:J4)</f>
        <v>0.1856287425</v>
      </c>
      <c r="W80" s="45">
        <f>MIN(Command!K2:K4)</f>
        <v>0.2772050401</v>
      </c>
      <c r="X80" s="45">
        <f>MIN(Command!L2:L4)</f>
        <v>0</v>
      </c>
      <c r="Y80" s="45">
        <f>MIN(Command!M2:M4)</f>
        <v>0</v>
      </c>
      <c r="Z80" s="45">
        <f>MIN(Command!N2:N4)</f>
        <v>0.9999999404</v>
      </c>
      <c r="AA80" s="45">
        <f>MIN(Command!O2:O4)</f>
        <v>0.8271334767</v>
      </c>
      <c r="AC80" s="44" t="s">
        <v>107</v>
      </c>
      <c r="AD80" s="45">
        <f>MIN(Command!D5:D7)</f>
        <v>0.04462786052</v>
      </c>
      <c r="AE80" s="45">
        <f>MIN(Command!E5:E7)</f>
        <v>0.7141472101</v>
      </c>
      <c r="AF80" s="45">
        <f>MIN(Command!F5:F7)</f>
        <v>0.6972258687</v>
      </c>
      <c r="AG80" s="45">
        <f>MIN(Command!G5:G7)</f>
        <v>0.7055850625</v>
      </c>
      <c r="AH80" s="45">
        <f>MIN(Command!H5:H7)</f>
        <v>0.4552745219</v>
      </c>
      <c r="AI80" s="45">
        <f>MIN(Command!I5:I7)</f>
        <v>0.1025015253</v>
      </c>
      <c r="AJ80" s="45">
        <f>MIN(Command!J5:J7)</f>
        <v>0.1739666872</v>
      </c>
      <c r="AK80" s="45">
        <f>MIN(Command!K5:K7)</f>
        <v>0.2644728824</v>
      </c>
      <c r="AL80" s="45">
        <f>MIN(Command!L5:L7)</f>
        <v>0</v>
      </c>
      <c r="AM80" s="45">
        <f>MIN(Command!M5:M7)</f>
        <v>0</v>
      </c>
      <c r="AN80" s="45">
        <f>MIN(Command!N5:N7)</f>
        <v>0.9999999404</v>
      </c>
      <c r="AO80" s="45">
        <f>MIN(Command!O5:O7)</f>
        <v>0.5545380712</v>
      </c>
      <c r="AQ80" s="44" t="s">
        <v>107</v>
      </c>
      <c r="AR80" s="45">
        <f>MIN(Command!D8:D10)</f>
        <v>0.06527791999</v>
      </c>
      <c r="AS80" s="45">
        <f>MIN(Command!E8:E10)</f>
        <v>0.7331551909</v>
      </c>
      <c r="AT80" s="45">
        <f>MIN(Command!F8:F10)</f>
        <v>0.7267712951</v>
      </c>
      <c r="AU80" s="45">
        <f>MIN(Command!G8:G10)</f>
        <v>0.7299492955</v>
      </c>
      <c r="AV80" s="45">
        <f>MIN(Command!H8:H10)</f>
        <v>0.4786215699</v>
      </c>
      <c r="AW80" s="45">
        <f>MIN(Command!I8:I10)</f>
        <v>0.1249211356</v>
      </c>
      <c r="AX80" s="45">
        <f>MIN(Command!J8:J10)</f>
        <v>0.1953371141</v>
      </c>
      <c r="AY80" s="45">
        <f>MIN(Command!K8:K10)</f>
        <v>0.2718570517</v>
      </c>
      <c r="AZ80" s="45">
        <f>MIN(Command!L8:L10)</f>
        <v>0</v>
      </c>
      <c r="BA80" s="45">
        <f>MIN(Command!M8:M10)</f>
        <v>0</v>
      </c>
      <c r="BB80" s="45">
        <f>MIN(Command!N8:N10)</f>
        <v>0.9999999404</v>
      </c>
      <c r="BC80" s="45">
        <f>MIN(Command!O8:O10)</f>
        <v>0.9999999404</v>
      </c>
      <c r="BE80" s="44" t="s">
        <v>107</v>
      </c>
      <c r="BF80" s="45">
        <f>MIN(Command!D11:D13)</f>
        <v>0.03984220399</v>
      </c>
      <c r="BG80" s="45">
        <f>MIN(Command!E11:E13)</f>
        <v>0.7135390043</v>
      </c>
      <c r="BH80" s="45">
        <f>MIN(Command!F11:F13)</f>
        <v>0.7130484581</v>
      </c>
      <c r="BI80" s="45">
        <f>MIN(Command!G11:G13)</f>
        <v>0.713293612</v>
      </c>
      <c r="BJ80" s="45">
        <f>MIN(Command!H11:H13)</f>
        <v>0.4507628294</v>
      </c>
      <c r="BK80" s="45">
        <f>MIN(Command!I11:I13)</f>
        <v>0.1083333333</v>
      </c>
      <c r="BL80" s="45">
        <f>MIN(Command!J11:J13)</f>
        <v>0.1803051318</v>
      </c>
      <c r="BM80" s="45">
        <f>MIN(Command!K11:K13)</f>
        <v>0.2427184466</v>
      </c>
      <c r="BN80" s="45">
        <f>MIN(Command!L11:L13)</f>
        <v>0</v>
      </c>
      <c r="BO80" s="45">
        <f>MIN(Command!M11:M13)</f>
        <v>0</v>
      </c>
      <c r="BP80" s="45">
        <f>MIN(Command!N11:N13)</f>
        <v>0.9999999404</v>
      </c>
      <c r="BQ80" s="45">
        <f>MIN(Command!O11:O13)</f>
        <v>0.9999999404</v>
      </c>
      <c r="BS80" s="44" t="s">
        <v>107</v>
      </c>
      <c r="BT80" s="45">
        <f>MIN(Command!D14:D16)</f>
        <v>0.05687611391</v>
      </c>
      <c r="BU80" s="45">
        <f>MIN(Command!E14:E16)</f>
        <v>0.7074922323</v>
      </c>
      <c r="BV80" s="45">
        <f>MIN(Command!F14:F16)</f>
        <v>0.7049862146</v>
      </c>
      <c r="BW80" s="45">
        <f>MIN(Command!G14:G16)</f>
        <v>0.7062370181</v>
      </c>
      <c r="BX80" s="45">
        <f>MIN(Command!H14:H16)</f>
        <v>0.4505021521</v>
      </c>
      <c r="BY80" s="45">
        <f>MIN(Command!I14:I16)</f>
        <v>0.1192528736</v>
      </c>
      <c r="BZ80" s="45">
        <f>MIN(Command!J14:J16)</f>
        <v>0.1807747489</v>
      </c>
      <c r="CA80" s="45">
        <f>MIN(Command!K14:K16)</f>
        <v>0.2697274032</v>
      </c>
      <c r="CB80" s="45">
        <f>MIN(Command!L14:L16)</f>
        <v>0</v>
      </c>
      <c r="CC80" s="45">
        <f>MIN(Command!M14:M16)</f>
        <v>0</v>
      </c>
      <c r="CD80" s="45">
        <f>MIN(Command!N14:N16)</f>
        <v>0.9999999404</v>
      </c>
      <c r="CE80" s="45">
        <f>MIN(Command!O14:O16)</f>
        <v>0.9999999404</v>
      </c>
      <c r="CG80" s="44" t="s">
        <v>107</v>
      </c>
      <c r="CH80" s="45">
        <f>MIN(Command!D17:D19)</f>
        <v>0.07391671364</v>
      </c>
      <c r="CI80" s="45">
        <f>MIN(Command!E17:E19)</f>
        <v>0.7356952429</v>
      </c>
      <c r="CJ80" s="45">
        <f>MIN(Command!F17:F19)</f>
        <v>0.721064806</v>
      </c>
      <c r="CK80" s="45">
        <f>MIN(Command!G17:G19)</f>
        <v>0.7283065915</v>
      </c>
      <c r="CL80" s="45">
        <f>MIN(Command!H17:H19)</f>
        <v>0.5109780439</v>
      </c>
      <c r="CM80" s="45">
        <f>MIN(Command!I17:I19)</f>
        <v>0.1498987171</v>
      </c>
      <c r="CN80" s="45">
        <f>MIN(Command!J17:J19)</f>
        <v>0.1968981794</v>
      </c>
      <c r="CO80" s="45">
        <f>MIN(Command!K17:K19)</f>
        <v>0.2900864937</v>
      </c>
      <c r="CP80" s="45">
        <f>MIN(Command!L17:L19)</f>
        <v>0</v>
      </c>
      <c r="CQ80" s="45">
        <f>MIN(Command!M17:M19)</f>
        <v>0</v>
      </c>
      <c r="CR80" s="45">
        <f>MIN(Command!N17:N19)</f>
        <v>0.9999999404</v>
      </c>
      <c r="CS80" s="45">
        <f>MIN(Command!O17:O19)</f>
        <v>0.9999999404</v>
      </c>
    </row>
    <row r="81" ht="15.75" customHeight="1">
      <c r="A81" s="42" t="s">
        <v>108</v>
      </c>
      <c r="B81" s="43">
        <f>MIN(Sabia!D:D)</f>
        <v>0.03011438082</v>
      </c>
      <c r="C81" s="43">
        <f>MIN(Sabia!E:E)</f>
        <v>0.7301548719</v>
      </c>
      <c r="D81" s="43">
        <f>MIN(Sabia!F:F)</f>
        <v>0.711922884</v>
      </c>
      <c r="E81" s="43">
        <f>MIN(Sabia!G:G)</f>
        <v>0.7209236026</v>
      </c>
      <c r="F81" s="43">
        <f>MIN(Sabia!H:H)</f>
        <v>0.4449035813</v>
      </c>
      <c r="G81" s="43">
        <f>MIN(Sabia!I:I)</f>
        <v>0.1172106825</v>
      </c>
      <c r="H81" s="43">
        <f>MIN(Sabia!J:J)</f>
        <v>0.1818181818</v>
      </c>
      <c r="I81" s="43">
        <f>MIN(Sabia!K:K)</f>
        <v>0.2403770621</v>
      </c>
      <c r="J81" s="43">
        <f>MIN(Sabia!L:L)</f>
        <v>0</v>
      </c>
      <c r="K81" s="43">
        <f>MIN(Sabia!M:M)</f>
        <v>0</v>
      </c>
      <c r="L81" s="43">
        <f>MIN(Sabia!N:N)</f>
        <v>0.9999999404</v>
      </c>
      <c r="M81" s="43">
        <f>MIN(Sabia!O:O)</f>
        <v>0.5545380712</v>
      </c>
      <c r="O81" s="44" t="s">
        <v>108</v>
      </c>
      <c r="P81" s="45">
        <f>MIN(Sabia!D2:D4)</f>
        <v>0.0469224186</v>
      </c>
      <c r="Q81" s="45">
        <f>MIN(Sabia!E2:E4)</f>
        <v>0.7507194877</v>
      </c>
      <c r="R81" s="45">
        <f>MIN(Sabia!F2:F4)</f>
        <v>0.7474635839</v>
      </c>
      <c r="S81" s="45">
        <f>MIN(Sabia!G2:G4)</f>
        <v>0.751085639</v>
      </c>
      <c r="T81" s="45">
        <f>MIN(Sabia!H2:H4)</f>
        <v>0.4836775483</v>
      </c>
      <c r="U81" s="45">
        <f>MIN(Sabia!I2:I4)</f>
        <v>0.1574382922</v>
      </c>
      <c r="V81" s="45">
        <f>MIN(Sabia!J2:J4)</f>
        <v>0.1845416417</v>
      </c>
      <c r="W81" s="45">
        <f>MIN(Sabia!K2:K4)</f>
        <v>0.2638241173</v>
      </c>
      <c r="X81" s="45">
        <f>MIN(Sabia!L2:L4)</f>
        <v>0</v>
      </c>
      <c r="Y81" s="45">
        <f>MIN(Sabia!M2:M4)</f>
        <v>0</v>
      </c>
      <c r="Z81" s="45">
        <f>MIN(Sabia!N2:N4)</f>
        <v>0.9999999404</v>
      </c>
      <c r="AA81" s="45">
        <f>MIN(Sabia!O2:O4)</f>
        <v>0.8271334767</v>
      </c>
      <c r="AC81" s="44" t="s">
        <v>108</v>
      </c>
      <c r="AD81" s="45">
        <f>MIN(Sabia!D5:D7)</f>
        <v>0.03011438082</v>
      </c>
      <c r="AE81" s="45">
        <f>MIN(Sabia!E5:E7)</f>
        <v>0.7301548719</v>
      </c>
      <c r="AF81" s="45">
        <f>MIN(Sabia!F5:F7)</f>
        <v>0.711922884</v>
      </c>
      <c r="AG81" s="45">
        <f>MIN(Sabia!G5:G7)</f>
        <v>0.7209236026</v>
      </c>
      <c r="AH81" s="45">
        <f>MIN(Sabia!H5:H7)</f>
        <v>0.4449035813</v>
      </c>
      <c r="AI81" s="45">
        <f>MIN(Sabia!I5:I7)</f>
        <v>0.1248454883</v>
      </c>
      <c r="AJ81" s="45">
        <f>MIN(Sabia!J5:J7)</f>
        <v>0.1818181818</v>
      </c>
      <c r="AK81" s="45">
        <f>MIN(Sabia!K5:K7)</f>
        <v>0.2451790634</v>
      </c>
      <c r="AL81" s="45">
        <f>MIN(Sabia!L5:L7)</f>
        <v>0</v>
      </c>
      <c r="AM81" s="45">
        <f>MIN(Sabia!M5:M7)</f>
        <v>0</v>
      </c>
      <c r="AN81" s="45">
        <f>MIN(Sabia!N5:N7)</f>
        <v>0.9999999404</v>
      </c>
      <c r="AO81" s="45">
        <f>MIN(Sabia!O5:O7)</f>
        <v>0.5545380712</v>
      </c>
      <c r="AQ81" s="44" t="s">
        <v>108</v>
      </c>
      <c r="AR81" s="45">
        <f>MIN(Sabia!D8:D10)</f>
        <v>0.0636611481</v>
      </c>
      <c r="AS81" s="45">
        <f>MIN(Sabia!E8:E10)</f>
        <v>0.7556792498</v>
      </c>
      <c r="AT81" s="45">
        <f>MIN(Sabia!F8:F10)</f>
        <v>0.7525119185</v>
      </c>
      <c r="AU81" s="45">
        <f>MIN(Sabia!G8:G10)</f>
        <v>0.7540922761</v>
      </c>
      <c r="AV81" s="45">
        <f>MIN(Sabia!H8:H10)</f>
        <v>0.4978540773</v>
      </c>
      <c r="AW81" s="45">
        <f>MIN(Sabia!I8:I10)</f>
        <v>0.1547277937</v>
      </c>
      <c r="AX81" s="45">
        <f>MIN(Sabia!J8:J10)</f>
        <v>0.1959942775</v>
      </c>
      <c r="AY81" s="45">
        <f>MIN(Sabia!K8:K10)</f>
        <v>0.2806779661</v>
      </c>
      <c r="AZ81" s="45">
        <f>MIN(Sabia!L8:L10)</f>
        <v>0</v>
      </c>
      <c r="BA81" s="45">
        <f>MIN(Sabia!M8:M10)</f>
        <v>0</v>
      </c>
      <c r="BB81" s="45">
        <f>MIN(Sabia!N8:N10)</f>
        <v>0.9999999404</v>
      </c>
      <c r="BC81" s="45">
        <f>MIN(Sabia!O8:O10)</f>
        <v>0.9999999404</v>
      </c>
      <c r="BE81" s="44" t="s">
        <v>108</v>
      </c>
      <c r="BF81" s="45">
        <f>MIN(Sabia!D11:D13)</f>
        <v>0.04575694232</v>
      </c>
      <c r="BG81" s="45">
        <f>MIN(Sabia!E11:E13)</f>
        <v>0.7309014797</v>
      </c>
      <c r="BH81" s="45">
        <f>MIN(Sabia!F11:F13)</f>
        <v>0.7283383608</v>
      </c>
      <c r="BI81" s="45">
        <f>MIN(Sabia!G11:G13)</f>
        <v>0.7296176553</v>
      </c>
      <c r="BJ81" s="45">
        <f>MIN(Sabia!H11:H13)</f>
        <v>0.4681853888</v>
      </c>
      <c r="BK81" s="45">
        <f>MIN(Sabia!I11:I13)</f>
        <v>0.1172106825</v>
      </c>
      <c r="BL81" s="45">
        <f>MIN(Sabia!J11:J13)</f>
        <v>0.1845940319</v>
      </c>
      <c r="BM81" s="45">
        <f>MIN(Sabia!K11:K13)</f>
        <v>0.2403770621</v>
      </c>
      <c r="BN81" s="45">
        <f>MIN(Sabia!L11:L13)</f>
        <v>0</v>
      </c>
      <c r="BO81" s="45">
        <f>MIN(Sabia!M11:M13)</f>
        <v>0</v>
      </c>
      <c r="BP81" s="45">
        <f>MIN(Sabia!N11:N13)</f>
        <v>0.9999999404</v>
      </c>
      <c r="BQ81" s="45">
        <f>MIN(Sabia!O11:O13)</f>
        <v>0.9999999404</v>
      </c>
      <c r="BS81" s="44" t="s">
        <v>108</v>
      </c>
      <c r="BT81" s="45">
        <f>MIN(Sabia!D14:D16)</f>
        <v>0.06347715111</v>
      </c>
      <c r="BU81" s="45">
        <f>MIN(Sabia!E14:E16)</f>
        <v>0.7457675934</v>
      </c>
      <c r="BV81" s="45">
        <f>MIN(Sabia!F14:F16)</f>
        <v>0.7370663881</v>
      </c>
      <c r="BW81" s="45">
        <f>MIN(Sabia!G14:G16)</f>
        <v>0.741576314</v>
      </c>
      <c r="BX81" s="45">
        <f>MIN(Sabia!H14:H16)</f>
        <v>0.4884792627</v>
      </c>
      <c r="BY81" s="45">
        <f>MIN(Sabia!I14:I16)</f>
        <v>0.1351545651</v>
      </c>
      <c r="BZ81" s="45">
        <f>MIN(Sabia!J14:J16)</f>
        <v>0.1895190237</v>
      </c>
      <c r="CA81" s="45">
        <f>MIN(Sabia!K14:K16)</f>
        <v>0.2627422828</v>
      </c>
      <c r="CB81" s="45">
        <f>MIN(Sabia!L14:L16)</f>
        <v>0</v>
      </c>
      <c r="CC81" s="45">
        <f>MIN(Sabia!M14:M16)</f>
        <v>0</v>
      </c>
      <c r="CD81" s="45">
        <f>MIN(Sabia!N14:N16)</f>
        <v>0.9999999404</v>
      </c>
      <c r="CE81" s="45">
        <f>MIN(Sabia!O14:O16)</f>
        <v>0.9999999404</v>
      </c>
      <c r="CG81" s="44" t="s">
        <v>108</v>
      </c>
      <c r="CH81" s="45">
        <f>MIN(Sabia!D17:D19)</f>
        <v>0.06159405278</v>
      </c>
      <c r="CI81" s="45">
        <f>MIN(Sabia!E17:E19)</f>
        <v>0.748293221</v>
      </c>
      <c r="CJ81" s="45">
        <f>MIN(Sabia!F17:F19)</f>
        <v>0.7243104577</v>
      </c>
      <c r="CK81" s="45">
        <f>MIN(Sabia!G17:G19)</f>
        <v>0.7361065149</v>
      </c>
      <c r="CL81" s="45">
        <f>MIN(Sabia!H17:H19)</f>
        <v>0.5266362253</v>
      </c>
      <c r="CM81" s="45">
        <f>MIN(Sabia!I17:I19)</f>
        <v>0.1621621622</v>
      </c>
      <c r="CN81" s="45">
        <f>MIN(Sabia!J17:J19)</f>
        <v>0.1933028919</v>
      </c>
      <c r="CO81" s="45">
        <f>MIN(Sabia!K17:K19)</f>
        <v>0.2712550607</v>
      </c>
      <c r="CP81" s="45">
        <f>MIN(Sabia!L17:L19)</f>
        <v>0</v>
      </c>
      <c r="CQ81" s="45">
        <f>MIN(Sabia!M17:M19)</f>
        <v>0</v>
      </c>
      <c r="CR81" s="45">
        <f>MIN(Sabia!N17:N19)</f>
        <v>0.9999999404</v>
      </c>
      <c r="CS81" s="45">
        <f>MIN(Sabia!O17:O19)</f>
        <v>0.9999999404</v>
      </c>
    </row>
    <row r="82" ht="15.75" customHeight="1">
      <c r="A82" s="42" t="s">
        <v>109</v>
      </c>
      <c r="B82" s="43">
        <f>MIN(GPT!D:D)</f>
        <v>0.05428635707</v>
      </c>
      <c r="C82" s="43">
        <f>MIN(GPT!E:E)</f>
        <v>0.7311623096</v>
      </c>
      <c r="D82" s="43">
        <f>MIN(GPT!F:F)</f>
        <v>0.7130519748</v>
      </c>
      <c r="E82" s="43">
        <f>MIN(GPT!G:G)</f>
        <v>0.7220312953</v>
      </c>
      <c r="F82" s="43">
        <f>MIN(GPT!H:H)</f>
        <v>0.4350949205</v>
      </c>
      <c r="G82" s="43">
        <f>MIN(GPT!I:I)</f>
        <v>0.115048793</v>
      </c>
      <c r="H82" s="43">
        <f>MIN(GPT!J:J)</f>
        <v>0.1748120301</v>
      </c>
      <c r="I82" s="43">
        <f>MIN(GPT!K:K)</f>
        <v>0.2384914032</v>
      </c>
      <c r="J82" s="43">
        <f>MIN(GPT!L:L)</f>
        <v>0</v>
      </c>
      <c r="K82" s="43">
        <f>MIN(GPT!M:M)</f>
        <v>0</v>
      </c>
      <c r="L82" s="43">
        <f>MIN(GPT!N:N)</f>
        <v>0.9999999404</v>
      </c>
      <c r="M82" s="43">
        <f>MIN(GPT!O:O)</f>
        <v>0.5545380712</v>
      </c>
      <c r="O82" s="44" t="s">
        <v>109</v>
      </c>
      <c r="P82" s="45">
        <f>MIN(GPT!D2:D4)</f>
        <v>0.08873859516</v>
      </c>
      <c r="Q82" s="45">
        <f>MIN(GPT!E2:E4)</f>
        <v>0.7499855757</v>
      </c>
      <c r="R82" s="45">
        <f>MIN(GPT!F2:F4)</f>
        <v>0.7501893044</v>
      </c>
      <c r="S82" s="45">
        <f>MIN(GPT!G2:G4)</f>
        <v>0.750572145</v>
      </c>
      <c r="T82" s="45">
        <f>MIN(GPT!H2:H4)</f>
        <v>0.5307125307</v>
      </c>
      <c r="U82" s="45">
        <f>MIN(GPT!I2:I4)</f>
        <v>0.1691954023</v>
      </c>
      <c r="V82" s="45">
        <f>MIN(GPT!J2:J4)</f>
        <v>0.1900541605</v>
      </c>
      <c r="W82" s="45">
        <f>MIN(GPT!K2:K4)</f>
        <v>0.2816346627</v>
      </c>
      <c r="X82" s="45">
        <f>MIN(GPT!L2:L4)</f>
        <v>0</v>
      </c>
      <c r="Y82" s="45">
        <f>MIN(GPT!M2:M4)</f>
        <v>0</v>
      </c>
      <c r="Z82" s="45">
        <f>MIN(GPT!N2:N4)</f>
        <v>0.9999999404</v>
      </c>
      <c r="AA82" s="45">
        <f>MIN(GPT!O2:O4)</f>
        <v>0.8271334767</v>
      </c>
      <c r="AC82" s="44" t="s">
        <v>109</v>
      </c>
      <c r="AD82" s="45">
        <f>MIN(GPT!D5:D7)</f>
        <v>0.05428635707</v>
      </c>
      <c r="AE82" s="45">
        <f>MIN(GPT!E5:E7)</f>
        <v>0.7311623096</v>
      </c>
      <c r="AF82" s="45">
        <f>MIN(GPT!F5:F7)</f>
        <v>0.7130519748</v>
      </c>
      <c r="AG82" s="45">
        <f>MIN(GPT!G5:G7)</f>
        <v>0.7220312953</v>
      </c>
      <c r="AH82" s="45">
        <f>MIN(GPT!H5:H7)</f>
        <v>0.4671052632</v>
      </c>
      <c r="AI82" s="45">
        <f>MIN(GPT!I5:I7)</f>
        <v>0.127939793</v>
      </c>
      <c r="AJ82" s="45">
        <f>MIN(GPT!J5:J7)</f>
        <v>0.1748120301</v>
      </c>
      <c r="AK82" s="45">
        <f>MIN(GPT!K5:K7)</f>
        <v>0.2497482377</v>
      </c>
      <c r="AL82" s="45">
        <f>MIN(GPT!L5:L7)</f>
        <v>0</v>
      </c>
      <c r="AM82" s="45">
        <f>MIN(GPT!M5:M7)</f>
        <v>0</v>
      </c>
      <c r="AN82" s="45">
        <f>MIN(GPT!N5:N7)</f>
        <v>0.9999999404</v>
      </c>
      <c r="AO82" s="45">
        <f>MIN(GPT!O5:O7)</f>
        <v>0.5545380712</v>
      </c>
      <c r="AQ82" s="44" t="s">
        <v>109</v>
      </c>
      <c r="AR82" s="45">
        <f>MIN(GPT!D8:D10)</f>
        <v>0.09639470436</v>
      </c>
      <c r="AS82" s="45">
        <f>MIN(GPT!E8:E10)</f>
        <v>0.7517716885</v>
      </c>
      <c r="AT82" s="45">
        <f>MIN(GPT!F8:F10)</f>
        <v>0.7418305874</v>
      </c>
      <c r="AU82" s="45">
        <f>MIN(GPT!G8:G10)</f>
        <v>0.7488952279</v>
      </c>
      <c r="AV82" s="45">
        <f>MIN(GPT!H8:H10)</f>
        <v>0.493731919</v>
      </c>
      <c r="AW82" s="45">
        <f>MIN(GPT!I8:I10)</f>
        <v>0.1609553479</v>
      </c>
      <c r="AX82" s="45">
        <f>MIN(GPT!J8:J10)</f>
        <v>0.1899710704</v>
      </c>
      <c r="AY82" s="45">
        <f>MIN(GPT!K8:K10)</f>
        <v>0.2864030858</v>
      </c>
      <c r="AZ82" s="45">
        <f>MIN(GPT!L8:L10)</f>
        <v>0</v>
      </c>
      <c r="BA82" s="45">
        <f>MIN(GPT!M8:M10)</f>
        <v>0</v>
      </c>
      <c r="BB82" s="45">
        <f>MIN(GPT!N8:N10)</f>
        <v>0.9999999404</v>
      </c>
      <c r="BC82" s="45">
        <f>MIN(GPT!O8:O10)</f>
        <v>0.9999999404</v>
      </c>
      <c r="BE82" s="44" t="s">
        <v>109</v>
      </c>
      <c r="BF82" s="45">
        <f>MIN(GPT!D11:D13)</f>
        <v>0.05441640872</v>
      </c>
      <c r="BG82" s="45">
        <f>MIN(GPT!E11:E13)</f>
        <v>0.7367940545</v>
      </c>
      <c r="BH82" s="45">
        <f>MIN(GPT!F11:F13)</f>
        <v>0.7311467528</v>
      </c>
      <c r="BI82" s="45">
        <f>MIN(GPT!G11:G13)</f>
        <v>0.7339595556</v>
      </c>
      <c r="BJ82" s="45">
        <f>MIN(GPT!H11:H13)</f>
        <v>0.4350949205</v>
      </c>
      <c r="BK82" s="45">
        <f>MIN(GPT!I11:I13)</f>
        <v>0.115048793</v>
      </c>
      <c r="BL82" s="45">
        <f>MIN(GPT!J11:J13)</f>
        <v>0.1806054387</v>
      </c>
      <c r="BM82" s="45">
        <f>MIN(GPT!K11:K13)</f>
        <v>0.2384914032</v>
      </c>
      <c r="BN82" s="45">
        <f>MIN(GPT!L11:L13)</f>
        <v>0</v>
      </c>
      <c r="BO82" s="45">
        <f>MIN(GPT!M11:M13)</f>
        <v>0</v>
      </c>
      <c r="BP82" s="45">
        <f>MIN(GPT!N11:N13)</f>
        <v>0.9999999404</v>
      </c>
      <c r="BQ82" s="45">
        <f>MIN(GPT!O11:O13)</f>
        <v>0.9999999404</v>
      </c>
      <c r="BS82" s="44" t="s">
        <v>109</v>
      </c>
      <c r="BT82" s="45">
        <f>MIN(GPT!D14:D16)</f>
        <v>0.06309750256</v>
      </c>
      <c r="BU82" s="45">
        <f>MIN(GPT!E14:E16)</f>
        <v>0.7333807945</v>
      </c>
      <c r="BV82" s="45">
        <f>MIN(GPT!F14:F16)</f>
        <v>0.728215456</v>
      </c>
      <c r="BW82" s="45">
        <f>MIN(GPT!G14:G16)</f>
        <v>0.7311335206</v>
      </c>
      <c r="BX82" s="45">
        <f>MIN(GPT!H14:H16)</f>
        <v>0.4471330878</v>
      </c>
      <c r="BY82" s="45">
        <f>MIN(GPT!I14:I16)</f>
        <v>0.1289218483</v>
      </c>
      <c r="BZ82" s="45">
        <f>MIN(GPT!J14:J16)</f>
        <v>0.1823361823</v>
      </c>
      <c r="CA82" s="45">
        <f>MIN(GPT!K14:K16)</f>
        <v>0.260968661</v>
      </c>
      <c r="CB82" s="45">
        <f>MIN(GPT!L14:L16)</f>
        <v>0</v>
      </c>
      <c r="CC82" s="45">
        <f>MIN(GPT!M14:M16)</f>
        <v>0</v>
      </c>
      <c r="CD82" s="45">
        <f>MIN(GPT!N14:N16)</f>
        <v>0.9999999404</v>
      </c>
      <c r="CE82" s="45">
        <f>MIN(GPT!O14:O16)</f>
        <v>0.9999999404</v>
      </c>
      <c r="CG82" s="44" t="s">
        <v>109</v>
      </c>
      <c r="CH82" s="45">
        <f>MIN(GPT!D17:D19)</f>
        <v>0.06036187001</v>
      </c>
      <c r="CI82" s="45">
        <f>MIN(GPT!E17:E19)</f>
        <v>0.7437586784</v>
      </c>
      <c r="CJ82" s="45">
        <f>MIN(GPT!F17:F19)</f>
        <v>0.7302542329</v>
      </c>
      <c r="CK82" s="45">
        <f>MIN(GPT!G17:G19)</f>
        <v>0.7371922135</v>
      </c>
      <c r="CL82" s="45">
        <f>MIN(GPT!H17:H19)</f>
        <v>0.4984924623</v>
      </c>
      <c r="CM82" s="45">
        <f>MIN(GPT!I17:I19)</f>
        <v>0.1700201207</v>
      </c>
      <c r="CN82" s="45">
        <f>MIN(GPT!J17:J19)</f>
        <v>0.1809045226</v>
      </c>
      <c r="CO82" s="45">
        <f>MIN(GPT!K17:K19)</f>
        <v>0.2753768844</v>
      </c>
      <c r="CP82" s="45">
        <f>MIN(GPT!L17:L19)</f>
        <v>0</v>
      </c>
      <c r="CQ82" s="45">
        <f>MIN(GPT!M17:M19)</f>
        <v>0</v>
      </c>
      <c r="CR82" s="45">
        <f>MIN(GPT!N17:N19)</f>
        <v>0.9999999404</v>
      </c>
      <c r="CS82" s="45">
        <f>MIN(GPT!O17:O19)</f>
        <v>0.9999999404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43">
    <mergeCell ref="P29:Q29"/>
    <mergeCell ref="R29:S29"/>
    <mergeCell ref="T29:U29"/>
    <mergeCell ref="V29:W29"/>
    <mergeCell ref="X29:Y29"/>
    <mergeCell ref="Z29:AA29"/>
    <mergeCell ref="B30:C30"/>
    <mergeCell ref="D30:E30"/>
    <mergeCell ref="F30:G30"/>
    <mergeCell ref="H30:I30"/>
    <mergeCell ref="J30:K30"/>
    <mergeCell ref="L30:M30"/>
    <mergeCell ref="P30:Q30"/>
    <mergeCell ref="R30:S30"/>
    <mergeCell ref="T30:U30"/>
    <mergeCell ref="V30:W30"/>
    <mergeCell ref="X30:Y30"/>
    <mergeCell ref="Z30:AA30"/>
    <mergeCell ref="B31:C31"/>
    <mergeCell ref="D31:E31"/>
    <mergeCell ref="B33:C33"/>
    <mergeCell ref="D33:E33"/>
    <mergeCell ref="F33:G33"/>
    <mergeCell ref="H33:I33"/>
    <mergeCell ref="J33:K33"/>
    <mergeCell ref="L33:M33"/>
    <mergeCell ref="F31:G31"/>
    <mergeCell ref="H31:I31"/>
    <mergeCell ref="J31:K31"/>
    <mergeCell ref="L31:M31"/>
    <mergeCell ref="T31:U31"/>
    <mergeCell ref="V31:W31"/>
    <mergeCell ref="Z33:AA33"/>
    <mergeCell ref="AD33:AE33"/>
    <mergeCell ref="AF33:AG33"/>
    <mergeCell ref="AH33:AI33"/>
    <mergeCell ref="AJ33:AK33"/>
    <mergeCell ref="AL33:AM33"/>
    <mergeCell ref="AN33:AO33"/>
    <mergeCell ref="P31:Q31"/>
    <mergeCell ref="R31:S31"/>
    <mergeCell ref="P33:Q33"/>
    <mergeCell ref="R33:S33"/>
    <mergeCell ref="T33:U33"/>
    <mergeCell ref="V33:W33"/>
    <mergeCell ref="X33:Y33"/>
    <mergeCell ref="CH40:CI40"/>
    <mergeCell ref="CJ40:CK40"/>
    <mergeCell ref="CL40:CM40"/>
    <mergeCell ref="CN40:CO40"/>
    <mergeCell ref="CP40:CQ40"/>
    <mergeCell ref="CR40:CS40"/>
    <mergeCell ref="V41:W41"/>
    <mergeCell ref="X41:Y41"/>
    <mergeCell ref="Z41:AA41"/>
    <mergeCell ref="AD41:AE41"/>
    <mergeCell ref="AF41:AG41"/>
    <mergeCell ref="AH41:AI41"/>
    <mergeCell ref="AJ41:AK41"/>
    <mergeCell ref="AL41:AM41"/>
    <mergeCell ref="V40:W40"/>
    <mergeCell ref="X40:Y40"/>
    <mergeCell ref="AD40:AE40"/>
    <mergeCell ref="AF40:AG40"/>
    <mergeCell ref="AH40:AI40"/>
    <mergeCell ref="AJ40:AK40"/>
    <mergeCell ref="AL40:AM40"/>
    <mergeCell ref="AN40:AO40"/>
    <mergeCell ref="AN41:AO41"/>
    <mergeCell ref="AR41:AS41"/>
    <mergeCell ref="AT41:AU41"/>
    <mergeCell ref="AV41:AW41"/>
    <mergeCell ref="AX41:AY41"/>
    <mergeCell ref="BT41:BU41"/>
    <mergeCell ref="BV41:BW41"/>
    <mergeCell ref="CH41:CI41"/>
    <mergeCell ref="CJ41:CK41"/>
    <mergeCell ref="CL41:CM41"/>
    <mergeCell ref="CN41:CO41"/>
    <mergeCell ref="CP41:CQ41"/>
    <mergeCell ref="CR41:CS41"/>
    <mergeCell ref="J41:K41"/>
    <mergeCell ref="L41:M41"/>
    <mergeCell ref="P41:Q41"/>
    <mergeCell ref="R41:S41"/>
    <mergeCell ref="B40:C40"/>
    <mergeCell ref="B42:C42"/>
    <mergeCell ref="D42:E42"/>
    <mergeCell ref="F42:G42"/>
    <mergeCell ref="H42:I42"/>
    <mergeCell ref="J42:K42"/>
    <mergeCell ref="L42:M42"/>
    <mergeCell ref="P42:Q42"/>
    <mergeCell ref="R42:S42"/>
    <mergeCell ref="T42:U42"/>
    <mergeCell ref="F41:G41"/>
    <mergeCell ref="H41:I41"/>
    <mergeCell ref="B41:C41"/>
    <mergeCell ref="D41:E41"/>
    <mergeCell ref="B43:C43"/>
    <mergeCell ref="D43:E43"/>
    <mergeCell ref="F43:G43"/>
    <mergeCell ref="H43:I43"/>
    <mergeCell ref="J43:K43"/>
    <mergeCell ref="AF43:AG43"/>
    <mergeCell ref="AH43:AI43"/>
    <mergeCell ref="AN43:AO43"/>
    <mergeCell ref="AN44:AO44"/>
    <mergeCell ref="Z40:AA40"/>
    <mergeCell ref="AC40:AC44"/>
    <mergeCell ref="AQ40:AQ44"/>
    <mergeCell ref="Z42:AA42"/>
    <mergeCell ref="AF42:AG42"/>
    <mergeCell ref="AH42:AI42"/>
    <mergeCell ref="AN42:AO42"/>
    <mergeCell ref="CB43:CC43"/>
    <mergeCell ref="CD43:CE43"/>
    <mergeCell ref="BT44:BU44"/>
    <mergeCell ref="BV44:BW44"/>
    <mergeCell ref="BX44:BY44"/>
    <mergeCell ref="BZ44:CA44"/>
    <mergeCell ref="CB44:CC44"/>
    <mergeCell ref="CD44:CE44"/>
    <mergeCell ref="CH44:CI44"/>
    <mergeCell ref="CJ44:CK44"/>
    <mergeCell ref="CL44:CM44"/>
    <mergeCell ref="CN44:CO44"/>
    <mergeCell ref="CP44:CQ44"/>
    <mergeCell ref="CR44:CS44"/>
    <mergeCell ref="BT40:BU40"/>
    <mergeCell ref="BV40:BW40"/>
    <mergeCell ref="BX40:BY40"/>
    <mergeCell ref="BZ40:CA40"/>
    <mergeCell ref="CB40:CC40"/>
    <mergeCell ref="CD40:CE40"/>
    <mergeCell ref="CG40:CG44"/>
    <mergeCell ref="BX41:BY41"/>
    <mergeCell ref="BZ41:CA41"/>
    <mergeCell ref="CB41:CC41"/>
    <mergeCell ref="CD41:CE41"/>
    <mergeCell ref="BT42:BU42"/>
    <mergeCell ref="BV42:BW42"/>
    <mergeCell ref="BX42:BY42"/>
    <mergeCell ref="BZ42:CA42"/>
    <mergeCell ref="CB42:CC42"/>
    <mergeCell ref="CD42:CE42"/>
    <mergeCell ref="CH42:CI42"/>
    <mergeCell ref="CJ42:CK42"/>
    <mergeCell ref="CL42:CM42"/>
    <mergeCell ref="CN42:CO42"/>
    <mergeCell ref="CP42:CQ42"/>
    <mergeCell ref="CR42:CS42"/>
    <mergeCell ref="BT43:BU43"/>
    <mergeCell ref="BV43:BW43"/>
    <mergeCell ref="BX43:BY43"/>
    <mergeCell ref="BZ43:CA43"/>
    <mergeCell ref="CH43:CI43"/>
    <mergeCell ref="CJ43:CK43"/>
    <mergeCell ref="CL43:CM43"/>
    <mergeCell ref="CN43:CO43"/>
    <mergeCell ref="CP43:CQ43"/>
    <mergeCell ref="CR43:CS43"/>
    <mergeCell ref="L27:M27"/>
    <mergeCell ref="P27:Q27"/>
    <mergeCell ref="R27:S27"/>
    <mergeCell ref="T27:U27"/>
    <mergeCell ref="V27:W27"/>
    <mergeCell ref="X27:Y27"/>
    <mergeCell ref="Z27:AA27"/>
    <mergeCell ref="A27:A31"/>
    <mergeCell ref="F27:G27"/>
    <mergeCell ref="H27:I27"/>
    <mergeCell ref="J27:K27"/>
    <mergeCell ref="O27:O31"/>
    <mergeCell ref="AC27:AC31"/>
    <mergeCell ref="Z28:AA28"/>
    <mergeCell ref="J40:K40"/>
    <mergeCell ref="L40:M40"/>
    <mergeCell ref="R40:S40"/>
    <mergeCell ref="T40:U40"/>
    <mergeCell ref="V42:W42"/>
    <mergeCell ref="X42:Y42"/>
    <mergeCell ref="AJ42:AK42"/>
    <mergeCell ref="AL42:AM42"/>
    <mergeCell ref="AJ43:AK43"/>
    <mergeCell ref="AL43:AM43"/>
    <mergeCell ref="L43:M43"/>
    <mergeCell ref="P43:Q43"/>
    <mergeCell ref="AD42:AE42"/>
    <mergeCell ref="AD43:AE43"/>
    <mergeCell ref="CP53:CQ53"/>
    <mergeCell ref="CR53:CS53"/>
    <mergeCell ref="BZ53:CA53"/>
    <mergeCell ref="CB53:CC53"/>
    <mergeCell ref="CD53:CE53"/>
    <mergeCell ref="CH53:CI53"/>
    <mergeCell ref="CJ53:CK53"/>
    <mergeCell ref="CL53:CM53"/>
    <mergeCell ref="CN53:CO53"/>
    <mergeCell ref="V44:W44"/>
    <mergeCell ref="X44:Y44"/>
    <mergeCell ref="X31:Y31"/>
    <mergeCell ref="Z31:AA31"/>
    <mergeCell ref="D40:E40"/>
    <mergeCell ref="F40:G40"/>
    <mergeCell ref="O40:O44"/>
    <mergeCell ref="T41:U41"/>
    <mergeCell ref="Z43:AA43"/>
    <mergeCell ref="Z44:AA44"/>
    <mergeCell ref="H40:I40"/>
    <mergeCell ref="P40:Q40"/>
    <mergeCell ref="B53:C53"/>
    <mergeCell ref="D53:E53"/>
    <mergeCell ref="F53:G53"/>
    <mergeCell ref="H53:I53"/>
    <mergeCell ref="J53:K53"/>
    <mergeCell ref="L53:M53"/>
    <mergeCell ref="P53:Q53"/>
    <mergeCell ref="R53:S53"/>
    <mergeCell ref="T53:U53"/>
    <mergeCell ref="V53:W53"/>
    <mergeCell ref="X53:Y53"/>
    <mergeCell ref="Z53:AA53"/>
    <mergeCell ref="AD53:AE53"/>
    <mergeCell ref="AF53:AG53"/>
    <mergeCell ref="AH53:AI53"/>
    <mergeCell ref="AJ53:AK53"/>
    <mergeCell ref="AL53:AM53"/>
    <mergeCell ref="AN53:AO53"/>
    <mergeCell ref="AR53:AS53"/>
    <mergeCell ref="AT53:AU53"/>
    <mergeCell ref="AV53:AW53"/>
    <mergeCell ref="AX53:AY53"/>
    <mergeCell ref="AZ53:BA53"/>
    <mergeCell ref="BB53:BC53"/>
    <mergeCell ref="BF53:BG53"/>
    <mergeCell ref="BH53:BI53"/>
    <mergeCell ref="BJ53:BK53"/>
    <mergeCell ref="BL53:BM53"/>
    <mergeCell ref="BN53:BO53"/>
    <mergeCell ref="BP53:BQ53"/>
    <mergeCell ref="BT53:BU53"/>
    <mergeCell ref="BV53:BW53"/>
    <mergeCell ref="BX53:BY53"/>
    <mergeCell ref="F61:G61"/>
    <mergeCell ref="H61:I61"/>
    <mergeCell ref="B62:C62"/>
    <mergeCell ref="D62:E62"/>
    <mergeCell ref="F62:G62"/>
    <mergeCell ref="H62:I62"/>
    <mergeCell ref="B63:C63"/>
    <mergeCell ref="D63:E63"/>
    <mergeCell ref="F63:G63"/>
    <mergeCell ref="H63:I63"/>
    <mergeCell ref="B64:C64"/>
    <mergeCell ref="D64:E64"/>
    <mergeCell ref="B66:C66"/>
    <mergeCell ref="D66:E66"/>
    <mergeCell ref="F66:G66"/>
    <mergeCell ref="H66:I66"/>
    <mergeCell ref="J66:K66"/>
    <mergeCell ref="L66:M66"/>
    <mergeCell ref="F64:G64"/>
    <mergeCell ref="H64:I64"/>
    <mergeCell ref="A40:A44"/>
    <mergeCell ref="B44:C44"/>
    <mergeCell ref="A60:A64"/>
    <mergeCell ref="B60:C60"/>
    <mergeCell ref="D60:E60"/>
    <mergeCell ref="F60:G60"/>
    <mergeCell ref="H60:I60"/>
    <mergeCell ref="AH61:AI61"/>
    <mergeCell ref="AJ61:AK61"/>
    <mergeCell ref="AD62:AE62"/>
    <mergeCell ref="AF62:AG62"/>
    <mergeCell ref="AH62:AI62"/>
    <mergeCell ref="AJ62:AK62"/>
    <mergeCell ref="V63:W63"/>
    <mergeCell ref="X63:Y63"/>
    <mergeCell ref="Z63:AA63"/>
    <mergeCell ref="AD63:AE63"/>
    <mergeCell ref="AF63:AG63"/>
    <mergeCell ref="AH63:AI63"/>
    <mergeCell ref="AJ63:AK63"/>
    <mergeCell ref="V64:W64"/>
    <mergeCell ref="X64:Y64"/>
    <mergeCell ref="Z64:AA64"/>
    <mergeCell ref="AD64:AE64"/>
    <mergeCell ref="AF64:AG64"/>
    <mergeCell ref="AH64:AI64"/>
    <mergeCell ref="AJ64:AK64"/>
    <mergeCell ref="V43:W43"/>
    <mergeCell ref="X43:Y43"/>
    <mergeCell ref="AC60:AC64"/>
    <mergeCell ref="AD60:AE60"/>
    <mergeCell ref="AF60:AG60"/>
    <mergeCell ref="AH60:AI60"/>
    <mergeCell ref="AJ60:AK60"/>
    <mergeCell ref="R43:S43"/>
    <mergeCell ref="T43:U43"/>
    <mergeCell ref="D44:E44"/>
    <mergeCell ref="F44:G44"/>
    <mergeCell ref="H44:I44"/>
    <mergeCell ref="J44:K44"/>
    <mergeCell ref="L44:M44"/>
    <mergeCell ref="P44:Q44"/>
    <mergeCell ref="R44:S44"/>
    <mergeCell ref="T44:U44"/>
    <mergeCell ref="AD44:AE44"/>
    <mergeCell ref="AF44:AG44"/>
    <mergeCell ref="AH44:AI44"/>
    <mergeCell ref="AJ44:AK44"/>
    <mergeCell ref="AL44:AM44"/>
    <mergeCell ref="B61:C61"/>
    <mergeCell ref="D61:E61"/>
    <mergeCell ref="AD61:AE61"/>
    <mergeCell ref="AF61:AG61"/>
    <mergeCell ref="Z66:AA66"/>
    <mergeCell ref="AD66:AE66"/>
    <mergeCell ref="AF66:AG66"/>
    <mergeCell ref="AH66:AI66"/>
    <mergeCell ref="AJ66:AK66"/>
    <mergeCell ref="AL66:AM66"/>
    <mergeCell ref="AN66:AO66"/>
    <mergeCell ref="AR66:AS66"/>
    <mergeCell ref="AT66:AU66"/>
    <mergeCell ref="AV66:AW66"/>
    <mergeCell ref="AX66:AY66"/>
    <mergeCell ref="AZ66:BA66"/>
    <mergeCell ref="BB66:BC66"/>
    <mergeCell ref="BF66:BG66"/>
    <mergeCell ref="BH66:BI66"/>
    <mergeCell ref="BJ66:BK66"/>
    <mergeCell ref="BL66:BM66"/>
    <mergeCell ref="BN66:BO66"/>
    <mergeCell ref="BP66:BQ66"/>
    <mergeCell ref="BT66:BU66"/>
    <mergeCell ref="BV66:BW66"/>
    <mergeCell ref="CN66:CO66"/>
    <mergeCell ref="CP66:CQ66"/>
    <mergeCell ref="CR66:CS66"/>
    <mergeCell ref="BX66:BY66"/>
    <mergeCell ref="BZ66:CA66"/>
    <mergeCell ref="CB66:CC66"/>
    <mergeCell ref="CD66:CE66"/>
    <mergeCell ref="CH66:CI66"/>
    <mergeCell ref="CJ66:CK66"/>
    <mergeCell ref="CL66:CM66"/>
    <mergeCell ref="J63:K63"/>
    <mergeCell ref="L63:M63"/>
    <mergeCell ref="P63:Q63"/>
    <mergeCell ref="R63:S63"/>
    <mergeCell ref="J60:K60"/>
    <mergeCell ref="J64:K64"/>
    <mergeCell ref="L64:M64"/>
    <mergeCell ref="P64:Q64"/>
    <mergeCell ref="L60:M60"/>
    <mergeCell ref="O60:O64"/>
    <mergeCell ref="P60:Q60"/>
    <mergeCell ref="R60:S60"/>
    <mergeCell ref="T60:U60"/>
    <mergeCell ref="V60:W60"/>
    <mergeCell ref="T63:U63"/>
    <mergeCell ref="R64:S64"/>
    <mergeCell ref="T64:U64"/>
    <mergeCell ref="AZ64:BA64"/>
    <mergeCell ref="BB64:BC64"/>
    <mergeCell ref="BF64:BG64"/>
    <mergeCell ref="BH64:BI64"/>
    <mergeCell ref="BJ64:BK64"/>
    <mergeCell ref="CB64:CC64"/>
    <mergeCell ref="CD64:CE64"/>
    <mergeCell ref="CH64:CI64"/>
    <mergeCell ref="CJ64:CK64"/>
    <mergeCell ref="CL64:CM64"/>
    <mergeCell ref="CN64:CO64"/>
    <mergeCell ref="CP64:CQ64"/>
    <mergeCell ref="CR64:CS64"/>
    <mergeCell ref="BL64:BM64"/>
    <mergeCell ref="BN64:BO64"/>
    <mergeCell ref="BP64:BQ64"/>
    <mergeCell ref="BT64:BU64"/>
    <mergeCell ref="BV64:BW64"/>
    <mergeCell ref="BX64:BY64"/>
    <mergeCell ref="BZ64:CA64"/>
    <mergeCell ref="X60:Y60"/>
    <mergeCell ref="Z60:AA60"/>
    <mergeCell ref="J61:K61"/>
    <mergeCell ref="L61:M61"/>
    <mergeCell ref="P61:Q61"/>
    <mergeCell ref="R61:S61"/>
    <mergeCell ref="T61:U61"/>
    <mergeCell ref="V61:W61"/>
    <mergeCell ref="X61:Y61"/>
    <mergeCell ref="Z61:AA61"/>
    <mergeCell ref="J62:K62"/>
    <mergeCell ref="L62:M62"/>
    <mergeCell ref="T62:U62"/>
    <mergeCell ref="V62:W62"/>
    <mergeCell ref="X62:Y62"/>
    <mergeCell ref="Z62:AA62"/>
    <mergeCell ref="P62:Q62"/>
    <mergeCell ref="R62:S62"/>
    <mergeCell ref="P66:Q66"/>
    <mergeCell ref="R66:S66"/>
    <mergeCell ref="T66:U66"/>
    <mergeCell ref="V66:W66"/>
    <mergeCell ref="X66:Y66"/>
    <mergeCell ref="AD77:AE77"/>
    <mergeCell ref="AF77:AG77"/>
    <mergeCell ref="L77:M77"/>
    <mergeCell ref="P77:Q77"/>
    <mergeCell ref="R77:S77"/>
    <mergeCell ref="T77:U77"/>
    <mergeCell ref="V77:W77"/>
    <mergeCell ref="X77:Y77"/>
    <mergeCell ref="Z77:AA77"/>
    <mergeCell ref="H73:I73"/>
    <mergeCell ref="P73:Q73"/>
    <mergeCell ref="R73:S73"/>
    <mergeCell ref="T73:U73"/>
    <mergeCell ref="V73:W73"/>
    <mergeCell ref="X73:Y73"/>
    <mergeCell ref="AD73:AE73"/>
    <mergeCell ref="AF73:AG73"/>
    <mergeCell ref="AH73:AI73"/>
    <mergeCell ref="AJ73:AK73"/>
    <mergeCell ref="AH77:AI77"/>
    <mergeCell ref="AJ77:AK77"/>
    <mergeCell ref="F74:G74"/>
    <mergeCell ref="H74:I74"/>
    <mergeCell ref="B74:C74"/>
    <mergeCell ref="D74:E74"/>
    <mergeCell ref="B77:C77"/>
    <mergeCell ref="D77:E77"/>
    <mergeCell ref="F77:G77"/>
    <mergeCell ref="H77:I77"/>
    <mergeCell ref="J77:K77"/>
    <mergeCell ref="AV64:AW64"/>
    <mergeCell ref="AX64:AY64"/>
    <mergeCell ref="AL60:AM60"/>
    <mergeCell ref="AN60:AO60"/>
    <mergeCell ref="AQ60:AQ64"/>
    <mergeCell ref="AR60:AS60"/>
    <mergeCell ref="AT60:AU60"/>
    <mergeCell ref="AV60:AW60"/>
    <mergeCell ref="AX60:AY60"/>
    <mergeCell ref="AR62:AS62"/>
    <mergeCell ref="AT62:AU62"/>
    <mergeCell ref="AV62:AW62"/>
    <mergeCell ref="AX62:AY62"/>
    <mergeCell ref="AL63:AM63"/>
    <mergeCell ref="AN63:AO63"/>
    <mergeCell ref="AR63:AS63"/>
    <mergeCell ref="AT63:AU63"/>
    <mergeCell ref="AV63:AW63"/>
    <mergeCell ref="AX63:AY63"/>
    <mergeCell ref="AR64:AS64"/>
    <mergeCell ref="AT64:AU64"/>
    <mergeCell ref="J73:K73"/>
    <mergeCell ref="L73:M73"/>
    <mergeCell ref="AR73:AS73"/>
    <mergeCell ref="AT73:AU73"/>
    <mergeCell ref="AV73:AW73"/>
    <mergeCell ref="AX73:AY73"/>
    <mergeCell ref="AZ73:BA73"/>
    <mergeCell ref="BB73:BC73"/>
    <mergeCell ref="CN73:CO73"/>
    <mergeCell ref="CP73:CQ73"/>
    <mergeCell ref="CR73:CS73"/>
    <mergeCell ref="CN74:CO74"/>
    <mergeCell ref="CP74:CQ74"/>
    <mergeCell ref="CR74:CS74"/>
    <mergeCell ref="AL74:AM74"/>
    <mergeCell ref="AN74:AO74"/>
    <mergeCell ref="AR74:AS74"/>
    <mergeCell ref="AT74:AU74"/>
    <mergeCell ref="AV74:AW74"/>
    <mergeCell ref="AX74:AY74"/>
    <mergeCell ref="AZ74:BA74"/>
    <mergeCell ref="BB74:BC74"/>
    <mergeCell ref="BL74:BM74"/>
    <mergeCell ref="BN74:BO74"/>
    <mergeCell ref="BZ74:CA74"/>
    <mergeCell ref="CB74:CC74"/>
    <mergeCell ref="BF74:BG74"/>
    <mergeCell ref="BH74:BI74"/>
    <mergeCell ref="AT75:AU75"/>
    <mergeCell ref="AV75:AW75"/>
    <mergeCell ref="AX75:AY75"/>
    <mergeCell ref="AZ75:BA75"/>
    <mergeCell ref="BB75:BC75"/>
    <mergeCell ref="BF75:BG75"/>
    <mergeCell ref="BH75:BI75"/>
    <mergeCell ref="BJ75:BK75"/>
    <mergeCell ref="AT76:AU76"/>
    <mergeCell ref="AV76:AW76"/>
    <mergeCell ref="AX76:AY76"/>
    <mergeCell ref="AZ76:BA76"/>
    <mergeCell ref="CD76:CE76"/>
    <mergeCell ref="CH76:CI76"/>
    <mergeCell ref="BZ77:CA77"/>
    <mergeCell ref="CB77:CC77"/>
    <mergeCell ref="CD77:CE77"/>
    <mergeCell ref="CH77:CI77"/>
    <mergeCell ref="CJ77:CK77"/>
    <mergeCell ref="CL77:CM77"/>
    <mergeCell ref="CN77:CO77"/>
    <mergeCell ref="CP77:CQ77"/>
    <mergeCell ref="CR77:CS77"/>
    <mergeCell ref="BZ73:CA73"/>
    <mergeCell ref="CB73:CC73"/>
    <mergeCell ref="CD73:CE73"/>
    <mergeCell ref="CG73:CG77"/>
    <mergeCell ref="CJ73:CK73"/>
    <mergeCell ref="CL73:CM73"/>
    <mergeCell ref="CD74:CE74"/>
    <mergeCell ref="CH73:CI73"/>
    <mergeCell ref="CH74:CI74"/>
    <mergeCell ref="CJ74:CK74"/>
    <mergeCell ref="CL74:CM74"/>
    <mergeCell ref="BZ75:CA75"/>
    <mergeCell ref="CB75:CC75"/>
    <mergeCell ref="CD75:CE75"/>
    <mergeCell ref="CH75:CI75"/>
    <mergeCell ref="CJ75:CK75"/>
    <mergeCell ref="CL75:CM75"/>
    <mergeCell ref="CN75:CO75"/>
    <mergeCell ref="CP75:CQ75"/>
    <mergeCell ref="CR75:CS75"/>
    <mergeCell ref="BZ76:CA76"/>
    <mergeCell ref="CB76:CC76"/>
    <mergeCell ref="CJ76:CK76"/>
    <mergeCell ref="CL76:CM76"/>
    <mergeCell ref="CN76:CO76"/>
    <mergeCell ref="CP76:CQ76"/>
    <mergeCell ref="CR76:CS76"/>
    <mergeCell ref="AQ73:AQ77"/>
    <mergeCell ref="AR75:AS75"/>
    <mergeCell ref="AR76:AS76"/>
    <mergeCell ref="AR77:AS77"/>
    <mergeCell ref="AL73:AM73"/>
    <mergeCell ref="AN73:AO73"/>
    <mergeCell ref="BE73:BE77"/>
    <mergeCell ref="BF73:BG73"/>
    <mergeCell ref="BH73:BI73"/>
    <mergeCell ref="BJ73:BK73"/>
    <mergeCell ref="BJ74:BK74"/>
    <mergeCell ref="BB76:BC76"/>
    <mergeCell ref="BF76:BG76"/>
    <mergeCell ref="BH76:BI76"/>
    <mergeCell ref="BJ76:BK76"/>
    <mergeCell ref="AL77:AM77"/>
    <mergeCell ref="AN77:AO77"/>
    <mergeCell ref="AT77:AU77"/>
    <mergeCell ref="AV77:AW77"/>
    <mergeCell ref="AX77:AY77"/>
    <mergeCell ref="AZ77:BA77"/>
    <mergeCell ref="BB77:BC77"/>
    <mergeCell ref="BF77:BG77"/>
    <mergeCell ref="BH77:BI77"/>
    <mergeCell ref="BJ77:BK77"/>
    <mergeCell ref="BL77:BM77"/>
    <mergeCell ref="BN77:BO77"/>
    <mergeCell ref="BP77:BQ77"/>
    <mergeCell ref="BT77:BU77"/>
    <mergeCell ref="BV77:BW77"/>
    <mergeCell ref="BX77:BY77"/>
    <mergeCell ref="AZ30:BA30"/>
    <mergeCell ref="BB30:BC30"/>
    <mergeCell ref="AV31:AW31"/>
    <mergeCell ref="AX31:AY31"/>
    <mergeCell ref="AZ31:BA31"/>
    <mergeCell ref="BB31:BC31"/>
    <mergeCell ref="AR27:AS27"/>
    <mergeCell ref="AT27:AU27"/>
    <mergeCell ref="AV27:AW27"/>
    <mergeCell ref="AX27:AY27"/>
    <mergeCell ref="AZ27:BA27"/>
    <mergeCell ref="BB27:BC27"/>
    <mergeCell ref="BE27:BE31"/>
    <mergeCell ref="AR31:AS31"/>
    <mergeCell ref="AT31:AU31"/>
    <mergeCell ref="AR33:AS33"/>
    <mergeCell ref="AT33:AU33"/>
    <mergeCell ref="AV33:AW33"/>
    <mergeCell ref="AX33:AY33"/>
    <mergeCell ref="AZ33:BA33"/>
    <mergeCell ref="BB33:BC33"/>
    <mergeCell ref="BF33:BG33"/>
    <mergeCell ref="BH33:BI33"/>
    <mergeCell ref="BJ33:BK33"/>
    <mergeCell ref="BL33:BM33"/>
    <mergeCell ref="BN33:BO33"/>
    <mergeCell ref="BP33:BQ33"/>
    <mergeCell ref="CJ33:CK33"/>
    <mergeCell ref="CL33:CM33"/>
    <mergeCell ref="CN33:CO33"/>
    <mergeCell ref="CP33:CQ33"/>
    <mergeCell ref="CR33:CS33"/>
    <mergeCell ref="BT33:BU33"/>
    <mergeCell ref="BV33:BW33"/>
    <mergeCell ref="BX33:BY33"/>
    <mergeCell ref="BZ33:CA33"/>
    <mergeCell ref="CB33:CC33"/>
    <mergeCell ref="CD33:CE33"/>
    <mergeCell ref="CH33:CI33"/>
    <mergeCell ref="AV28:AW28"/>
    <mergeCell ref="AX28:AY28"/>
    <mergeCell ref="AZ28:BA28"/>
    <mergeCell ref="BB28:BC28"/>
    <mergeCell ref="AR29:AS29"/>
    <mergeCell ref="AT29:AU29"/>
    <mergeCell ref="AV29:AW29"/>
    <mergeCell ref="AX29:AY29"/>
    <mergeCell ref="AZ29:BA29"/>
    <mergeCell ref="BB29:BC29"/>
    <mergeCell ref="AR30:AS30"/>
    <mergeCell ref="AT30:AU30"/>
    <mergeCell ref="AV30:AW30"/>
    <mergeCell ref="AX30:AY30"/>
    <mergeCell ref="CB30:CC30"/>
    <mergeCell ref="CD30:CE30"/>
    <mergeCell ref="BT31:BU31"/>
    <mergeCell ref="BV31:BW31"/>
    <mergeCell ref="BX31:BY31"/>
    <mergeCell ref="BZ31:CA31"/>
    <mergeCell ref="CB31:CC31"/>
    <mergeCell ref="CD31:CE31"/>
    <mergeCell ref="CH31:CI31"/>
    <mergeCell ref="CJ31:CK31"/>
    <mergeCell ref="CL31:CM31"/>
    <mergeCell ref="CN31:CO31"/>
    <mergeCell ref="CP31:CQ31"/>
    <mergeCell ref="CR31:CS31"/>
    <mergeCell ref="BT27:BU27"/>
    <mergeCell ref="BV27:BW27"/>
    <mergeCell ref="BX27:BY27"/>
    <mergeCell ref="BZ27:CA27"/>
    <mergeCell ref="CB27:CC27"/>
    <mergeCell ref="CD27:CE27"/>
    <mergeCell ref="CG27:CG31"/>
    <mergeCell ref="BX28:BY28"/>
    <mergeCell ref="BZ28:CA28"/>
    <mergeCell ref="CB28:CC28"/>
    <mergeCell ref="CD28:CE28"/>
    <mergeCell ref="BT29:BU29"/>
    <mergeCell ref="BV29:BW29"/>
    <mergeCell ref="BX29:BY29"/>
    <mergeCell ref="BZ29:CA29"/>
    <mergeCell ref="CB29:CC29"/>
    <mergeCell ref="CD29:CE29"/>
    <mergeCell ref="CH29:CI29"/>
    <mergeCell ref="CJ29:CK29"/>
    <mergeCell ref="CL29:CM29"/>
    <mergeCell ref="CN29:CO29"/>
    <mergeCell ref="CP29:CQ29"/>
    <mergeCell ref="CR29:CS29"/>
    <mergeCell ref="BT30:BU30"/>
    <mergeCell ref="BV30:BW30"/>
    <mergeCell ref="BX30:BY30"/>
    <mergeCell ref="BZ30:CA30"/>
    <mergeCell ref="CH30:CI30"/>
    <mergeCell ref="CJ30:CK30"/>
    <mergeCell ref="CL30:CM30"/>
    <mergeCell ref="CN30:CO30"/>
    <mergeCell ref="CP30:CQ30"/>
    <mergeCell ref="CR30:CS30"/>
    <mergeCell ref="A1:M1"/>
    <mergeCell ref="O1:AA1"/>
    <mergeCell ref="AC1:AO1"/>
    <mergeCell ref="AQ1:BC1"/>
    <mergeCell ref="BE1:BQ1"/>
    <mergeCell ref="BS1:CE1"/>
    <mergeCell ref="CG1:CS1"/>
    <mergeCell ref="R20:S20"/>
    <mergeCell ref="T20:U20"/>
    <mergeCell ref="V20:W20"/>
    <mergeCell ref="X20:Y20"/>
    <mergeCell ref="Z20:AA20"/>
    <mergeCell ref="AD20:AE20"/>
    <mergeCell ref="AF20:AG20"/>
    <mergeCell ref="AH20:AI20"/>
    <mergeCell ref="AJ20:AK20"/>
    <mergeCell ref="AL20:AM20"/>
    <mergeCell ref="AN20:AO20"/>
    <mergeCell ref="AR20:AS20"/>
    <mergeCell ref="AT20:AU20"/>
    <mergeCell ref="AV20:AW20"/>
    <mergeCell ref="AX20:AY20"/>
    <mergeCell ref="AZ20:BA20"/>
    <mergeCell ref="BB20:BC20"/>
    <mergeCell ref="BF20:BG20"/>
    <mergeCell ref="BH20:BI20"/>
    <mergeCell ref="BJ20:BK20"/>
    <mergeCell ref="BL20:BM20"/>
    <mergeCell ref="CD20:CE20"/>
    <mergeCell ref="CH20:CI20"/>
    <mergeCell ref="CJ20:CK20"/>
    <mergeCell ref="CL20:CM20"/>
    <mergeCell ref="CN20:CO20"/>
    <mergeCell ref="CP20:CQ20"/>
    <mergeCell ref="CR20:CS20"/>
    <mergeCell ref="BN20:BO20"/>
    <mergeCell ref="BP20:BQ20"/>
    <mergeCell ref="BT20:BU20"/>
    <mergeCell ref="BV20:BW20"/>
    <mergeCell ref="BX20:BY20"/>
    <mergeCell ref="BZ20:CA20"/>
    <mergeCell ref="CB20:CC20"/>
    <mergeCell ref="B20:C20"/>
    <mergeCell ref="D20:E20"/>
    <mergeCell ref="F20:G20"/>
    <mergeCell ref="H20:I20"/>
    <mergeCell ref="J20:K20"/>
    <mergeCell ref="L20:M20"/>
    <mergeCell ref="P20:Q20"/>
    <mergeCell ref="CH27:CI27"/>
    <mergeCell ref="CJ27:CK27"/>
    <mergeCell ref="CL27:CM27"/>
    <mergeCell ref="CN27:CO27"/>
    <mergeCell ref="CP27:CQ27"/>
    <mergeCell ref="CR27:CS27"/>
    <mergeCell ref="B27:C27"/>
    <mergeCell ref="B28:C28"/>
    <mergeCell ref="D28:E28"/>
    <mergeCell ref="F28:G28"/>
    <mergeCell ref="AD28:AE28"/>
    <mergeCell ref="AF28:AG28"/>
    <mergeCell ref="AR28:AS28"/>
    <mergeCell ref="AT28:AU28"/>
    <mergeCell ref="BF28:BG28"/>
    <mergeCell ref="BH28:BI28"/>
    <mergeCell ref="BT28:BU28"/>
    <mergeCell ref="BV28:BW28"/>
    <mergeCell ref="CH28:CI28"/>
    <mergeCell ref="CJ28:CK28"/>
    <mergeCell ref="CL28:CM28"/>
    <mergeCell ref="CN28:CO28"/>
    <mergeCell ref="CP28:CQ28"/>
    <mergeCell ref="CR28:CS28"/>
    <mergeCell ref="H28:I28"/>
    <mergeCell ref="J28:K28"/>
    <mergeCell ref="L28:M28"/>
    <mergeCell ref="P28:Q28"/>
    <mergeCell ref="R28:S28"/>
    <mergeCell ref="T28:U28"/>
    <mergeCell ref="V28:W28"/>
    <mergeCell ref="X28:Y28"/>
    <mergeCell ref="D27:E27"/>
    <mergeCell ref="B29:C29"/>
    <mergeCell ref="D29:E29"/>
    <mergeCell ref="F29:G29"/>
    <mergeCell ref="H29:I29"/>
    <mergeCell ref="J29:K29"/>
    <mergeCell ref="L29:M29"/>
    <mergeCell ref="AL30:AM30"/>
    <mergeCell ref="AN30:AO30"/>
    <mergeCell ref="AD31:AE31"/>
    <mergeCell ref="AF31:AG31"/>
    <mergeCell ref="AH31:AI31"/>
    <mergeCell ref="AJ31:AK31"/>
    <mergeCell ref="AL31:AM31"/>
    <mergeCell ref="AN31:AO31"/>
    <mergeCell ref="AD27:AE27"/>
    <mergeCell ref="AF27:AG27"/>
    <mergeCell ref="AH27:AI27"/>
    <mergeCell ref="AJ27:AK27"/>
    <mergeCell ref="AL27:AM27"/>
    <mergeCell ref="AN27:AO27"/>
    <mergeCell ref="AQ27:AQ31"/>
    <mergeCell ref="AH28:AI28"/>
    <mergeCell ref="AJ28:AK28"/>
    <mergeCell ref="AL28:AM28"/>
    <mergeCell ref="AN28:AO28"/>
    <mergeCell ref="AD29:AE29"/>
    <mergeCell ref="AF29:AG29"/>
    <mergeCell ref="AH29:AI29"/>
    <mergeCell ref="AJ29:AK29"/>
    <mergeCell ref="AL29:AM29"/>
    <mergeCell ref="AN29:AO29"/>
    <mergeCell ref="AD30:AE30"/>
    <mergeCell ref="AF30:AG30"/>
    <mergeCell ref="AH30:AI30"/>
    <mergeCell ref="AJ30:AK30"/>
    <mergeCell ref="BN30:BO30"/>
    <mergeCell ref="BP30:BQ30"/>
    <mergeCell ref="BF31:BG31"/>
    <mergeCell ref="BH31:BI31"/>
    <mergeCell ref="BJ31:BK31"/>
    <mergeCell ref="BL31:BM31"/>
    <mergeCell ref="BN31:BO31"/>
    <mergeCell ref="BP31:BQ31"/>
    <mergeCell ref="BF27:BG27"/>
    <mergeCell ref="BH27:BI27"/>
    <mergeCell ref="BJ27:BK27"/>
    <mergeCell ref="BL27:BM27"/>
    <mergeCell ref="BN27:BO27"/>
    <mergeCell ref="BP27:BQ27"/>
    <mergeCell ref="BS27:BS31"/>
    <mergeCell ref="BJ28:BK28"/>
    <mergeCell ref="BL28:BM28"/>
    <mergeCell ref="BN28:BO28"/>
    <mergeCell ref="BP28:BQ28"/>
    <mergeCell ref="BF29:BG29"/>
    <mergeCell ref="BH29:BI29"/>
    <mergeCell ref="BJ29:BK29"/>
    <mergeCell ref="BL29:BM29"/>
    <mergeCell ref="BN29:BO29"/>
    <mergeCell ref="BP29:BQ29"/>
    <mergeCell ref="BF30:BG30"/>
    <mergeCell ref="BH30:BI30"/>
    <mergeCell ref="BJ30:BK30"/>
    <mergeCell ref="BL30:BM30"/>
    <mergeCell ref="AZ41:BA41"/>
    <mergeCell ref="BB41:BC41"/>
    <mergeCell ref="BF41:BG41"/>
    <mergeCell ref="BH41:BI41"/>
    <mergeCell ref="BJ41:BK41"/>
    <mergeCell ref="BL41:BM41"/>
    <mergeCell ref="BN41:BO41"/>
    <mergeCell ref="BP41:BQ41"/>
    <mergeCell ref="AR42:AS42"/>
    <mergeCell ref="AT42:AU42"/>
    <mergeCell ref="AV42:AW42"/>
    <mergeCell ref="AX42:AY42"/>
    <mergeCell ref="AZ42:BA42"/>
    <mergeCell ref="BB42:BC42"/>
    <mergeCell ref="BF42:BG42"/>
    <mergeCell ref="BH42:BI42"/>
    <mergeCell ref="BJ42:BK42"/>
    <mergeCell ref="BL42:BM42"/>
    <mergeCell ref="BN42:BO42"/>
    <mergeCell ref="BP42:BQ42"/>
    <mergeCell ref="AR43:AS43"/>
    <mergeCell ref="AT43:AU43"/>
    <mergeCell ref="AV43:AW43"/>
    <mergeCell ref="AX43:AY43"/>
    <mergeCell ref="AZ43:BA43"/>
    <mergeCell ref="BB43:BC43"/>
    <mergeCell ref="BF43:BG43"/>
    <mergeCell ref="BH43:BI43"/>
    <mergeCell ref="BB40:BC40"/>
    <mergeCell ref="BF40:BG40"/>
    <mergeCell ref="BH40:BI40"/>
    <mergeCell ref="BJ40:BK40"/>
    <mergeCell ref="BL40:BM40"/>
    <mergeCell ref="BN40:BO40"/>
    <mergeCell ref="BP40:BQ40"/>
    <mergeCell ref="BN44:BO44"/>
    <mergeCell ref="BP44:BQ44"/>
    <mergeCell ref="AR40:AS40"/>
    <mergeCell ref="AT40:AU40"/>
    <mergeCell ref="AV40:AW40"/>
    <mergeCell ref="AX40:AY40"/>
    <mergeCell ref="AZ40:BA40"/>
    <mergeCell ref="BE40:BE44"/>
    <mergeCell ref="BS40:BS44"/>
    <mergeCell ref="BJ43:BK43"/>
    <mergeCell ref="BL43:BM43"/>
    <mergeCell ref="BN43:BO43"/>
    <mergeCell ref="BP43:BQ43"/>
    <mergeCell ref="AR44:AS44"/>
    <mergeCell ref="AT44:AU44"/>
    <mergeCell ref="AV44:AW44"/>
    <mergeCell ref="AX44:AY44"/>
    <mergeCell ref="AZ44:BA44"/>
    <mergeCell ref="BB44:BC44"/>
    <mergeCell ref="BF44:BG44"/>
    <mergeCell ref="BH44:BI44"/>
    <mergeCell ref="BJ44:BK44"/>
    <mergeCell ref="BL44:BM44"/>
    <mergeCell ref="CP60:CQ60"/>
    <mergeCell ref="CR60:CS60"/>
    <mergeCell ref="CP61:CQ61"/>
    <mergeCell ref="CR61:CS61"/>
    <mergeCell ref="CP62:CQ62"/>
    <mergeCell ref="CR62:CS62"/>
    <mergeCell ref="AL61:AM61"/>
    <mergeCell ref="AN61:AO61"/>
    <mergeCell ref="AR61:AS61"/>
    <mergeCell ref="AT61:AU61"/>
    <mergeCell ref="AV61:AW61"/>
    <mergeCell ref="AX61:AY61"/>
    <mergeCell ref="BN61:BO61"/>
    <mergeCell ref="BP61:BQ61"/>
    <mergeCell ref="CB61:CC61"/>
    <mergeCell ref="CD61:CE61"/>
    <mergeCell ref="AL62:AM62"/>
    <mergeCell ref="AN62:AO62"/>
    <mergeCell ref="BF63:BG63"/>
    <mergeCell ref="BH63:BI63"/>
    <mergeCell ref="BJ63:BK63"/>
    <mergeCell ref="BL63:BM63"/>
    <mergeCell ref="AZ60:BA60"/>
    <mergeCell ref="BB60:BC60"/>
    <mergeCell ref="BE60:BE64"/>
    <mergeCell ref="BF60:BG60"/>
    <mergeCell ref="BH60:BI60"/>
    <mergeCell ref="BJ60:BK60"/>
    <mergeCell ref="BL60:BM60"/>
    <mergeCell ref="AZ61:BA61"/>
    <mergeCell ref="BB61:BC61"/>
    <mergeCell ref="BF61:BG61"/>
    <mergeCell ref="BH61:BI61"/>
    <mergeCell ref="BJ61:BK61"/>
    <mergeCell ref="BL61:BM61"/>
    <mergeCell ref="AZ62:BA62"/>
    <mergeCell ref="BB62:BC62"/>
    <mergeCell ref="BF62:BG62"/>
    <mergeCell ref="BH62:BI62"/>
    <mergeCell ref="BJ62:BK62"/>
    <mergeCell ref="BL62:BM62"/>
    <mergeCell ref="AZ63:BA63"/>
    <mergeCell ref="BB63:BC63"/>
    <mergeCell ref="BX63:BY63"/>
    <mergeCell ref="BZ63:CA63"/>
    <mergeCell ref="BN60:BO60"/>
    <mergeCell ref="BP60:BQ60"/>
    <mergeCell ref="BS60:BS64"/>
    <mergeCell ref="BT60:BU60"/>
    <mergeCell ref="BV60:BW60"/>
    <mergeCell ref="BX60:BY60"/>
    <mergeCell ref="BZ60:CA60"/>
    <mergeCell ref="BT61:BU61"/>
    <mergeCell ref="BV61:BW61"/>
    <mergeCell ref="BX61:BY61"/>
    <mergeCell ref="BZ61:CA61"/>
    <mergeCell ref="BN62:BO62"/>
    <mergeCell ref="BP62:BQ62"/>
    <mergeCell ref="BT62:BU62"/>
    <mergeCell ref="BV62:BW62"/>
    <mergeCell ref="BX62:BY62"/>
    <mergeCell ref="BZ62:CA62"/>
    <mergeCell ref="BN63:BO63"/>
    <mergeCell ref="BP63:BQ63"/>
    <mergeCell ref="BT63:BU63"/>
    <mergeCell ref="BV63:BW63"/>
    <mergeCell ref="CL63:CM63"/>
    <mergeCell ref="CN63:CO63"/>
    <mergeCell ref="CB60:CC60"/>
    <mergeCell ref="CD60:CE60"/>
    <mergeCell ref="CG60:CG64"/>
    <mergeCell ref="CH60:CI60"/>
    <mergeCell ref="CJ60:CK60"/>
    <mergeCell ref="CL60:CM60"/>
    <mergeCell ref="CN60:CO60"/>
    <mergeCell ref="CH61:CI61"/>
    <mergeCell ref="CJ61:CK61"/>
    <mergeCell ref="CL61:CM61"/>
    <mergeCell ref="CN61:CO61"/>
    <mergeCell ref="CB62:CC62"/>
    <mergeCell ref="CD62:CE62"/>
    <mergeCell ref="CH62:CI62"/>
    <mergeCell ref="CJ62:CK62"/>
    <mergeCell ref="CL62:CM62"/>
    <mergeCell ref="CN62:CO62"/>
    <mergeCell ref="CB63:CC63"/>
    <mergeCell ref="CD63:CE63"/>
    <mergeCell ref="CH63:CI63"/>
    <mergeCell ref="CJ63:CK63"/>
    <mergeCell ref="CP63:CQ63"/>
    <mergeCell ref="CR63:CS63"/>
    <mergeCell ref="J74:K74"/>
    <mergeCell ref="L74:M74"/>
    <mergeCell ref="P74:Q74"/>
    <mergeCell ref="R74:S74"/>
    <mergeCell ref="T74:U74"/>
    <mergeCell ref="V74:W74"/>
    <mergeCell ref="X74:Y74"/>
    <mergeCell ref="AD74:AE74"/>
    <mergeCell ref="AF74:AG74"/>
    <mergeCell ref="AH74:AI74"/>
    <mergeCell ref="B73:C73"/>
    <mergeCell ref="B75:C75"/>
    <mergeCell ref="D75:E75"/>
    <mergeCell ref="F75:G75"/>
    <mergeCell ref="H75:I75"/>
    <mergeCell ref="J75:K75"/>
    <mergeCell ref="L75:M75"/>
    <mergeCell ref="P75:Q75"/>
    <mergeCell ref="R75:S75"/>
    <mergeCell ref="T75:U75"/>
    <mergeCell ref="V75:W75"/>
    <mergeCell ref="X75:Y75"/>
    <mergeCell ref="AD75:AE75"/>
    <mergeCell ref="AF75:AG75"/>
    <mergeCell ref="AH75:AI75"/>
    <mergeCell ref="AJ75:AK75"/>
    <mergeCell ref="AL75:AM75"/>
    <mergeCell ref="AN75:AO75"/>
    <mergeCell ref="Z73:AA73"/>
    <mergeCell ref="AC73:AC77"/>
    <mergeCell ref="Z74:AA74"/>
    <mergeCell ref="Z75:AA75"/>
    <mergeCell ref="Z76:AA76"/>
    <mergeCell ref="AJ76:AK76"/>
    <mergeCell ref="AL76:AM76"/>
    <mergeCell ref="AL64:AM64"/>
    <mergeCell ref="AN64:AO64"/>
    <mergeCell ref="A73:A77"/>
    <mergeCell ref="D73:E73"/>
    <mergeCell ref="F73:G73"/>
    <mergeCell ref="O73:O77"/>
    <mergeCell ref="AJ74:AK74"/>
    <mergeCell ref="AN76:AO76"/>
    <mergeCell ref="B76:C76"/>
    <mergeCell ref="D76:E76"/>
    <mergeCell ref="F76:G76"/>
    <mergeCell ref="H76:I76"/>
    <mergeCell ref="J76:K76"/>
    <mergeCell ref="L76:M76"/>
    <mergeCell ref="P76:Q76"/>
    <mergeCell ref="R76:S76"/>
    <mergeCell ref="T76:U76"/>
    <mergeCell ref="V76:W76"/>
    <mergeCell ref="X76:Y76"/>
    <mergeCell ref="AD76:AE76"/>
    <mergeCell ref="AF76:AG76"/>
    <mergeCell ref="AH76:AI76"/>
    <mergeCell ref="BP76:BQ76"/>
    <mergeCell ref="BT76:BU76"/>
    <mergeCell ref="BL73:BM73"/>
    <mergeCell ref="BN73:BO73"/>
    <mergeCell ref="BP73:BQ73"/>
    <mergeCell ref="BS73:BS77"/>
    <mergeCell ref="BV73:BW73"/>
    <mergeCell ref="BX73:BY73"/>
    <mergeCell ref="BP74:BQ74"/>
    <mergeCell ref="BT73:BU73"/>
    <mergeCell ref="BT74:BU74"/>
    <mergeCell ref="BV74:BW74"/>
    <mergeCell ref="BX74:BY74"/>
    <mergeCell ref="BL75:BM75"/>
    <mergeCell ref="BN75:BO75"/>
    <mergeCell ref="BP75:BQ75"/>
    <mergeCell ref="BT75:BU75"/>
    <mergeCell ref="BV75:BW75"/>
    <mergeCell ref="BX75:BY75"/>
    <mergeCell ref="BL76:BM76"/>
    <mergeCell ref="BN76:BO76"/>
    <mergeCell ref="BV76:BW76"/>
    <mergeCell ref="BX76:BY76"/>
  </mergeCells>
  <conditionalFormatting sqref="B3:M5">
    <cfRule type="colorScale" priority="1">
      <colorScale>
        <cfvo type="min"/>
        <cfvo type="max"/>
        <color rgb="FF63BE7B"/>
        <color rgb="FFFCFCFF"/>
      </colorScale>
    </cfRule>
  </conditionalFormatting>
  <conditionalFormatting sqref="B3:M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AA5">
    <cfRule type="colorScale" priority="3">
      <colorScale>
        <cfvo type="min"/>
        <cfvo type="max"/>
        <color rgb="FF63BE7B"/>
        <color rgb="FFFCFCFF"/>
      </colorScale>
    </cfRule>
  </conditionalFormatting>
  <conditionalFormatting sqref="P3:AA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:AO5">
    <cfRule type="colorScale" priority="5">
      <colorScale>
        <cfvo type="min"/>
        <cfvo type="max"/>
        <color rgb="FF63BE7B"/>
        <color rgb="FFFCFCFF"/>
      </colorScale>
    </cfRule>
  </conditionalFormatting>
  <conditionalFormatting sqref="AD3:AO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:BC5">
    <cfRule type="colorScale" priority="7">
      <colorScale>
        <cfvo type="min"/>
        <cfvo type="max"/>
        <color rgb="FF63BE7B"/>
        <color rgb="FFFCFCFF"/>
      </colorScale>
    </cfRule>
  </conditionalFormatting>
  <conditionalFormatting sqref="AR3:BC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3:BQ5">
    <cfRule type="colorScale" priority="9">
      <colorScale>
        <cfvo type="min"/>
        <cfvo type="max"/>
        <color rgb="FF63BE7B"/>
        <color rgb="FFFCFCFF"/>
      </colorScale>
    </cfRule>
  </conditionalFormatting>
  <conditionalFormatting sqref="BF3:BQ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T3:CE5">
    <cfRule type="colorScale" priority="11">
      <colorScale>
        <cfvo type="min"/>
        <cfvo type="max"/>
        <color rgb="FF63BE7B"/>
        <color rgb="FFFCFCFF"/>
      </colorScale>
    </cfRule>
  </conditionalFormatting>
  <conditionalFormatting sqref="BT3:CE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3:CS5">
    <cfRule type="colorScale" priority="13">
      <colorScale>
        <cfvo type="min"/>
        <cfvo type="max"/>
        <color rgb="FF63BE7B"/>
        <color rgb="FFFCFCFF"/>
      </colorScale>
    </cfRule>
  </conditionalFormatting>
  <conditionalFormatting sqref="CH3:CS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13" width="32.57"/>
    <col customWidth="1" min="14" max="26" width="8.71"/>
  </cols>
  <sheetData>
    <row r="1" ht="33.75" customHeight="1">
      <c r="B1" s="13" t="s">
        <v>89</v>
      </c>
    </row>
    <row r="2">
      <c r="B2" s="50" t="s">
        <v>3</v>
      </c>
      <c r="C2" s="50" t="s">
        <v>4</v>
      </c>
      <c r="D2" s="50" t="s">
        <v>5</v>
      </c>
      <c r="E2" s="50" t="s">
        <v>6</v>
      </c>
      <c r="F2" s="50" t="s">
        <v>7</v>
      </c>
      <c r="G2" s="50" t="s">
        <v>8</v>
      </c>
      <c r="H2" s="50" t="s">
        <v>9</v>
      </c>
      <c r="I2" s="50" t="s">
        <v>10</v>
      </c>
      <c r="J2" s="50" t="s">
        <v>11</v>
      </c>
      <c r="K2" s="50" t="s">
        <v>12</v>
      </c>
      <c r="L2" s="50" t="s">
        <v>13</v>
      </c>
      <c r="M2" s="50" t="s">
        <v>14</v>
      </c>
    </row>
    <row r="3">
      <c r="A3" s="51" t="s">
        <v>110</v>
      </c>
      <c r="B3" s="52" t="str">
        <f t="array" ref="B3">INDEX(Command!$C2:$C4, MATCH(MAX(Command!D2:D4), Command!D2:D4, 0))</f>
        <v>command_r_plus_08_2024_temp05</v>
      </c>
      <c r="C3" s="52" t="str">
        <f t="array" ref="C3">INDEX(Command!$C2:$C4, MATCH(MAX(Command!E2:E4), Command!E2:E4, 0))</f>
        <v>command_r_plus_08_2024_temp07</v>
      </c>
      <c r="D3" s="52" t="str">
        <f t="array" ref="D3">INDEX(Command!$C2:$C4, MATCH(MAX(Command!F2:F4), Command!F2:F4, 0))</f>
        <v>command_r_plus_08_2024_temp07</v>
      </c>
      <c r="E3" s="52" t="str">
        <f t="array" ref="E3">INDEX(Command!$C2:$C4, MATCH(MAX(Command!G2:G4), Command!G2:G4, 0))</f>
        <v>command_r_plus_08_2024_temp07</v>
      </c>
      <c r="F3" s="52" t="str">
        <f t="array" ref="F3">INDEX(Command!$C2:$C4, MATCH(MAX(Command!H2:H4), Command!H2:H4, 0))</f>
        <v>command_r_plus_08_2024_temp03</v>
      </c>
      <c r="G3" s="52" t="str">
        <f t="array" ref="G3">INDEX(Command!$C2:$C4, MATCH(MAX(Command!I2:I4), Command!I2:I4, 0))</f>
        <v>command_r_plus_08_2024_temp03</v>
      </c>
      <c r="H3" s="52" t="str">
        <f t="array" ref="H3">INDEX(Command!$C2:$C4, MATCH(MAX(Command!J2:J4), Command!J2:J4, 0))</f>
        <v>command_r_plus_08_2024_temp05</v>
      </c>
      <c r="I3" s="52" t="str">
        <f t="array" ref="I3">INDEX(Command!$C2:$C4, MATCH(MAX(Command!K2:K4), Command!K2:K4, 0))</f>
        <v>command_r_plus_08_2024_temp07</v>
      </c>
      <c r="J3" s="52" t="str">
        <f t="array" ref="J3">INDEX(Command!$C2:$C4, MATCH(MAX(Command!L2:L4), Command!L2:L4, 0))</f>
        <v>command_r_plus_08_2024_temp03</v>
      </c>
      <c r="K3" s="52" t="str">
        <f t="array" ref="K3">INDEX(Command!$C2:$C4, MATCH(MAX(Command!M2:M4), Command!M2:M4, 0))</f>
        <v>command_r_plus_08_2024_temp03</v>
      </c>
      <c r="L3" s="52" t="str">
        <f t="array" ref="L3">INDEX(Command!$C2:$C4, MATCH(MAX(Command!N2:N4), Command!N2:N4, 0))</f>
        <v>command_r_plus_08_2024_temp03</v>
      </c>
      <c r="M3" s="52" t="str">
        <f t="array" ref="M3">INDEX(Command!$C2:$C4, MATCH(MAX(Command!O2:O4), Command!O2:O4, 0))</f>
        <v>command_r_plus_08_2024_temp03</v>
      </c>
    </row>
    <row r="4">
      <c r="A4" s="51" t="s">
        <v>111</v>
      </c>
      <c r="B4" s="52" t="str">
        <f t="array" ref="B4">INDEX(Gemma!$C2:$C4, MATCH(MAX(Gemma!D2:D4), Gemma!D2:D4))</f>
        <v>gemma_27b_temp07</v>
      </c>
      <c r="C4" s="52" t="str">
        <f t="array" ref="C4">INDEX(Gemma!$C2:$C4, MATCH(MAX(Gemma!E2:E4), Gemma!E2:E4))</f>
        <v>gemma_27b_temp07</v>
      </c>
      <c r="D4" s="52" t="str">
        <f t="array" ref="D4">INDEX(Gemma!$C2:$C4, MATCH(MAX(Gemma!F2:F4), Gemma!F2:F4))</f>
        <v>gemma_27b_temp07</v>
      </c>
      <c r="E4" s="52" t="str">
        <f t="array" ref="E4">INDEX(Gemma!$C2:$C4, MATCH(MAX(Gemma!G2:G4), Gemma!G2:G4))</f>
        <v>gemma_27b_temp07</v>
      </c>
      <c r="F4" s="52" t="str">
        <f t="array" ref="F4">INDEX(Gemma!$C2:$C4, MATCH(MAX(Gemma!H2:H4), Gemma!H2:H4))</f>
        <v>gemma_27b_temp07</v>
      </c>
      <c r="G4" s="52" t="str">
        <f t="array" ref="G4">INDEX(Gemma!$C2:$C4, MATCH(MAX(Gemma!I2:I4), Gemma!I2:I4))</f>
        <v>gemma_27b_temp07</v>
      </c>
      <c r="H4" s="52" t="str">
        <f t="array" ref="H4">INDEX(Gemma!$C2:$C4, MATCH(MAX(Gemma!J2:J4), Gemma!J2:J4))</f>
        <v>gemma_27b_temp07</v>
      </c>
      <c r="I4" s="52" t="str">
        <f t="array" ref="I4">INDEX(Gemma!$C2:$C4, MATCH(MAX(Gemma!K2:K4), Gemma!K2:K4))</f>
        <v>gemma_27b_temp07</v>
      </c>
      <c r="J4" s="52" t="str">
        <f t="array" ref="J4">INDEX(Gemma!$C2:$C4, MATCH(MAX(Gemma!L2:L4), Gemma!L2:L4))</f>
        <v>gemma_27b_temp07</v>
      </c>
      <c r="K4" s="52" t="str">
        <f t="array" ref="K4">INDEX(Gemma!$C2:$C4, MATCH(MAX(Gemma!M2:M4), Gemma!M2:M4))</f>
        <v>gemma_27b_temp07</v>
      </c>
      <c r="L4" s="52" t="str">
        <f t="array" ref="L4">INDEX(Gemma!$C2:$C4, MATCH(MAX(Gemma!N2:N4), Gemma!N2:N4))</f>
        <v>gemma_27b_temp07</v>
      </c>
      <c r="M4" s="52" t="str">
        <f t="array" ref="M4">INDEX(Gemma!$C2:$C4, MATCH(MAX(Gemma!O2:O4), Gemma!O2:O4))</f>
        <v>gemma_27b_temp07</v>
      </c>
    </row>
    <row r="5">
      <c r="A5" s="51" t="s">
        <v>112</v>
      </c>
      <c r="B5" s="52" t="str">
        <f t="array" ref="B5">INDEX(Gemma!$C5:$C7, MATCH(MAX(Gemma!D5:D7),Gemma!D5:D7))</f>
        <v>gemma_9b_temp07</v>
      </c>
      <c r="C5" s="52" t="str">
        <f t="array" ref="C5">INDEX(Gemma!$C5:$C7, MATCH(MAX(Gemma!E5:E7),Gemma!E5:E7))</f>
        <v>gemma_9b_temp07</v>
      </c>
      <c r="D5" s="52" t="str">
        <f t="array" ref="D5">INDEX(Gemma!$C5:$C7, MATCH(MAX(Gemma!F5:F7),Gemma!F5:F7))</f>
        <v>gemma_9b_temp07</v>
      </c>
      <c r="E5" s="52" t="str">
        <f t="array" ref="E5">INDEX(Gemma!$C5:$C7, MATCH(MAX(Gemma!G5:G7),Gemma!G5:G7))</f>
        <v>gemma_9b_temp07</v>
      </c>
      <c r="F5" s="52" t="str">
        <f t="array" ref="F5">INDEX(Gemma!$C5:$C7, MATCH(MAX(Gemma!H5:H7),Gemma!H5:H7))</f>
        <v>gemma_9b_temp07</v>
      </c>
      <c r="G5" s="52" t="str">
        <f t="array" ref="G5">INDEX(Gemma!$C5:$C7, MATCH(MAX(Gemma!I5:I7),Gemma!I5:I7))</f>
        <v>gemma_9b_temp07</v>
      </c>
      <c r="H5" s="52" t="str">
        <f t="array" ref="H5">INDEX(Gemma!$C5:$C7, MATCH(MAX(Gemma!J5:J7),Gemma!J5:J7))</f>
        <v>gemma_9b_temp07</v>
      </c>
      <c r="I5" s="52" t="str">
        <f t="array" ref="I5">INDEX(Gemma!$C5:$C7, MATCH(MAX(Gemma!K5:K7),Gemma!K5:K7))</f>
        <v>gemma_9b_temp07</v>
      </c>
      <c r="J5" s="52" t="str">
        <f t="array" ref="J5">INDEX(Gemma!$C5:$C7, MATCH(MAX(Gemma!L5:L7),Gemma!L5:L7))</f>
        <v>gemma_9b_temp07</v>
      </c>
      <c r="K5" s="52" t="str">
        <f t="array" ref="K5">INDEX(Gemma!$C5:$C7, MATCH(MAX(Gemma!M5:M7),Gemma!M5:M7))</f>
        <v>gemma_9b_temp07</v>
      </c>
      <c r="L5" s="52" t="str">
        <f t="array" ref="L5">INDEX(Gemma!$C5:$C7, MATCH(MAX(Gemma!N5:N7),Gemma!N5:N7))</f>
        <v>gemma_9b_temp07</v>
      </c>
      <c r="M5" s="52" t="str">
        <f t="array" ref="M5">INDEX(Gemma!$C5:$C7, MATCH(MAX(Gemma!O5:O7),Gemma!O5:O7))</f>
        <v>gemma_9b_temp07</v>
      </c>
    </row>
    <row r="6">
      <c r="A6" s="51" t="s">
        <v>113</v>
      </c>
      <c r="B6" s="52" t="str">
        <f t="array" ref="B6">INDEX(GPT!$C:$C, MATCH(MAX(GPT!D2:D4),GPT!D2:D4))</f>
        <v>gpt4o_temp05</v>
      </c>
      <c r="C6" s="52" t="str">
        <f t="array" ref="C6">INDEX(GPT!$C:$C, MATCH(MAX(GPT!E2:E4),GPT!E2:E4))</f>
        <v>gpt4o_temp05</v>
      </c>
      <c r="D6" s="52" t="str">
        <f t="array" ref="D6">INDEX(GPT!$C:$C, MATCH(MAX(GPT!F2:F4),GPT!F2:F4))</f>
        <v>gpt4o_temp05</v>
      </c>
      <c r="E6" s="52" t="str">
        <f t="array" ref="E6">INDEX(GPT!$C:$C, MATCH(MAX(GPT!G2:G4),GPT!G2:G4))</f>
        <v>gpt4o_temp05</v>
      </c>
      <c r="F6" s="52" t="str">
        <f t="array" ref="F6">INDEX(GPT!$C:$C, MATCH(MAX(GPT!H2:H4),GPT!H2:H4))</f>
        <v>gpt4o_temp05</v>
      </c>
      <c r="G6" s="52" t="str">
        <f t="array" ref="G6">INDEX(GPT!$C:$C, MATCH(MAX(GPT!I2:I4),GPT!I2:I4))</f>
        <v>gpt4o_temp05</v>
      </c>
      <c r="H6" s="52" t="str">
        <f t="array" ref="H6">INDEX(GPT!$C:$C, MATCH(MAX(GPT!J2:J4),GPT!J2:J4))</f>
        <v>gpt4o_temp05</v>
      </c>
      <c r="I6" s="52" t="str">
        <f t="array" ref="I6">INDEX(GPT!$C:$C, MATCH(MAX(GPT!K2:K4),GPT!K2:K4))</f>
        <v>gpt4o_temp05</v>
      </c>
      <c r="J6" s="52" t="str">
        <f t="array" ref="J6">INDEX(GPT!$C:$C, MATCH(MAX(GPT!L2:L4),GPT!L2:L4))</f>
        <v>gpt4o_temp05</v>
      </c>
      <c r="K6" s="52" t="str">
        <f t="array" ref="K6">INDEX(GPT!$C:$C, MATCH(MAX(GPT!M2:M4),GPT!M2:M4))</f>
        <v>gpt4o_temp05</v>
      </c>
      <c r="L6" s="52" t="str">
        <f t="array" ref="L6">INDEX(GPT!$C:$C, MATCH(MAX(GPT!N2:N4),GPT!N2:N4))</f>
        <v>gpt4o_temp05</v>
      </c>
      <c r="M6" s="52" t="str">
        <f t="array" ref="M6">INDEX(GPT!$C:$C, MATCH(MAX(GPT!O2:O4),GPT!O2:O4))</f>
        <v>gpt4o_temp05</v>
      </c>
    </row>
    <row r="7">
      <c r="A7" s="51" t="s">
        <v>114</v>
      </c>
      <c r="B7" s="52" t="str">
        <f t="array" ref="B7">INDEX(Llama!$C2:$C4, MATCH(MAX(Llama!D2:D4), Llama!D2:D4))</f>
        <v>llama_405b_temp07</v>
      </c>
      <c r="C7" s="52" t="str">
        <f t="array" ref="C7">INDEX(Llama!$C2:$C4, MATCH(MAX(Llama!E2:E4), Llama!E2:E4))</f>
        <v>llama_405b_temp07</v>
      </c>
      <c r="D7" s="52" t="str">
        <f t="array" ref="D7">INDEX(Llama!$C2:$C4, MATCH(MAX(Llama!F2:F4), Llama!F2:F4))</f>
        <v>llama_405b_temp07</v>
      </c>
      <c r="E7" s="52" t="str">
        <f t="array" ref="E7">INDEX(Llama!$C2:$C4, MATCH(MAX(Llama!G2:G4), Llama!G2:G4))</f>
        <v>llama_405b_temp07</v>
      </c>
      <c r="F7" s="52" t="str">
        <f t="array" ref="F7">INDEX(Llama!$C2:$C4, MATCH(MAX(Llama!H2:H4), Llama!H2:H4))</f>
        <v>llama_405b_temp07</v>
      </c>
      <c r="G7" s="52" t="str">
        <f t="array" ref="G7">INDEX(Llama!$C2:$C4, MATCH(MAX(Llama!I2:I4), Llama!I2:I4))</f>
        <v>llama_405b_temp07</v>
      </c>
      <c r="H7" s="52" t="str">
        <f t="array" ref="H7">INDEX(Llama!$C2:$C4, MATCH(MAX(Llama!J2:J4), Llama!J2:J4))</f>
        <v>llama_405b_temp07</v>
      </c>
      <c r="I7" s="52" t="str">
        <f t="array" ref="I7">INDEX(Llama!$C2:$C4, MATCH(MAX(Llama!K2:K4), Llama!K2:K4))</f>
        <v>llama_405b_temp07</v>
      </c>
      <c r="J7" s="52" t="str">
        <f t="array" ref="J7">INDEX(Llama!$C2:$C4, MATCH(MAX(Llama!L2:L4), Llama!L2:L4))</f>
        <v>llama_405b_temp07</v>
      </c>
      <c r="K7" s="52" t="str">
        <f t="array" ref="K7">INDEX(Llama!$C2:$C4, MATCH(MAX(Llama!M2:M4), Llama!M2:M4))</f>
        <v>llama_405b_temp07</v>
      </c>
      <c r="L7" s="52" t="str">
        <f t="array" ref="L7">INDEX(Llama!$C2:$C4, MATCH(MAX(Llama!N2:N4), Llama!N2:N4))</f>
        <v>llama_405b_temp07</v>
      </c>
      <c r="M7" s="52" t="str">
        <f t="array" ref="M7">INDEX(Llama!$C2:$C4, MATCH(MAX(Llama!O2:O4), Llama!O2:O4))</f>
        <v>llama_405b_temp07</v>
      </c>
    </row>
    <row r="8">
      <c r="A8" s="51" t="s">
        <v>115</v>
      </c>
      <c r="B8" s="52" t="str">
        <f t="array" ref="B8">INDEX(Llama!$C5:$C7, MATCH(MAX(Llama!D5:D7),Llama!D5:D7))</f>
        <v>llama_8b_temp07</v>
      </c>
      <c r="C8" s="52" t="str">
        <f t="array" ref="C8">INDEX(Llama!$C5:$C7, MATCH(MAX(Llama!E5:E7),Llama!E5:E7))</f>
        <v>llama_8b_temp07</v>
      </c>
      <c r="D8" s="52" t="str">
        <f t="array" ref="D8">INDEX(Llama!$C5:$C7, MATCH(MAX(Llama!F5:F7),Llama!F5:F7))</f>
        <v>llama_8b_temp07</v>
      </c>
      <c r="E8" s="52" t="str">
        <f t="array" ref="E8">INDEX(Llama!$C5:$C7, MATCH(MAX(Llama!G5:G7),Llama!G5:G7))</f>
        <v>llama_8b_temp07</v>
      </c>
      <c r="F8" s="52" t="str">
        <f t="array" ref="F8">INDEX(Llama!$C5:$C7, MATCH(MAX(Llama!H5:H7),Llama!H5:H7))</f>
        <v>llama_8b_temp07</v>
      </c>
      <c r="G8" s="52" t="str">
        <f t="array" ref="G8">INDEX(Llama!$C5:$C7, MATCH(MAX(Llama!I5:I7),Llama!I5:I7))</f>
        <v>llama_8b_temp07</v>
      </c>
      <c r="H8" s="52" t="str">
        <f t="array" ref="H8">INDEX(Llama!$C5:$C7, MATCH(MAX(Llama!J5:J7),Llama!J5:J7))</f>
        <v>llama_8b_temp07</v>
      </c>
      <c r="I8" s="52" t="str">
        <f t="array" ref="I8">INDEX(Llama!$C5:$C7, MATCH(MAX(Llama!K5:K7),Llama!K5:K7))</f>
        <v>llama_8b_temp07</v>
      </c>
      <c r="J8" s="52" t="str">
        <f t="array" ref="J8">INDEX(Llama!$C5:$C7, MATCH(MAX(Llama!L5:L7),Llama!L5:L7))</f>
        <v>llama_8b_temp07</v>
      </c>
      <c r="K8" s="52" t="str">
        <f t="array" ref="K8">INDEX(Llama!$C5:$C7, MATCH(MAX(Llama!M5:M7),Llama!M5:M7))</f>
        <v>llama_8b_temp07</v>
      </c>
      <c r="L8" s="52" t="str">
        <f t="array" ref="L8">INDEX(Llama!$C5:$C7, MATCH(MAX(Llama!N5:N7),Llama!N5:N7))</f>
        <v>llama_8b_temp07</v>
      </c>
      <c r="M8" s="52" t="str">
        <f t="array" ref="M8">INDEX(Llama!$C5:$C7, MATCH(MAX(Llama!O5:O7),Llama!O5:O7))</f>
        <v>llama_8b_temp07</v>
      </c>
    </row>
    <row r="9">
      <c r="A9" s="51" t="s">
        <v>116</v>
      </c>
      <c r="B9" s="52" t="str">
        <f t="array" ref="B9">INDEX(Mixtral!$C2:$C4, MATCH(MAX(Mixtral!D2:D4), Mixtral!D2:D4))</f>
        <v>mixtral_8x22b_temp07</v>
      </c>
      <c r="C9" s="52" t="str">
        <f t="array" ref="C9">INDEX(Mixtral!$C2:$C4, MATCH(MAX(Mixtral!E2:E4), Mixtral!E2:E4))</f>
        <v>mixtral_8x22b_temp07</v>
      </c>
      <c r="D9" s="52" t="str">
        <f t="array" ref="D9">INDEX(Mixtral!$C2:$C4, MATCH(MAX(Mixtral!F2:F4), Mixtral!F2:F4))</f>
        <v>mixtral_8x22b_temp07</v>
      </c>
      <c r="E9" s="52" t="str">
        <f t="array" ref="E9">INDEX(Mixtral!$C2:$C4, MATCH(MAX(Mixtral!G2:G4), Mixtral!G2:G4))</f>
        <v>mixtral_8x22b_temp07</v>
      </c>
      <c r="F9" s="52" t="str">
        <f t="array" ref="F9">INDEX(Mixtral!$C2:$C4, MATCH(MAX(Mixtral!H2:H4), Mixtral!H2:H4))</f>
        <v>mixtral_8x22b_temp07</v>
      </c>
      <c r="G9" s="52" t="str">
        <f t="array" ref="G9">INDEX(Mixtral!$C2:$C4, MATCH(MAX(Mixtral!I2:I4), Mixtral!I2:I4))</f>
        <v>mixtral_8x22b_temp07</v>
      </c>
      <c r="H9" s="52" t="str">
        <f t="array" ref="H9">INDEX(Mixtral!$C2:$C4, MATCH(MAX(Mixtral!J2:J4), Mixtral!J2:J4))</f>
        <v>mixtral_8x22b_temp07</v>
      </c>
      <c r="I9" s="52" t="str">
        <f t="array" ref="I9">INDEX(Mixtral!$C2:$C4, MATCH(MAX(Mixtral!K2:K4), Mixtral!K2:K4))</f>
        <v>mixtral_8x22b_temp07</v>
      </c>
      <c r="J9" s="52" t="str">
        <f t="array" ref="J9">INDEX(Mixtral!$C2:$C4, MATCH(MAX(Mixtral!L2:L4), Mixtral!L2:L4))</f>
        <v>mixtral_8x22b_temp07</v>
      </c>
      <c r="K9" s="52" t="str">
        <f t="array" ref="K9">INDEX(Mixtral!$C2:$C4, MATCH(MAX(Mixtral!M2:M4), Mixtral!M2:M4))</f>
        <v>mixtral_8x22b_temp07</v>
      </c>
      <c r="L9" s="52" t="str">
        <f t="array" ref="L9">INDEX(Mixtral!$C2:$C4, MATCH(MAX(Mixtral!N2:N4), Mixtral!N2:N4))</f>
        <v>mixtral_8x22b_temp07</v>
      </c>
      <c r="M9" s="52" t="str">
        <f t="array" ref="M9">INDEX(Mixtral!$C2:$C4, MATCH(MAX(Mixtral!O2:O4), Mixtral!O2:O4))</f>
        <v>mixtral_8x22b_temp07</v>
      </c>
    </row>
    <row r="10">
      <c r="A10" s="51" t="s">
        <v>117</v>
      </c>
      <c r="B10" s="52" t="str">
        <f t="array" ref="B10">INDEX(Mixtral!$C5:$C7, MATCH(MAX(Mixtral!D5:D7),Mixtral!D5:D7))</f>
        <v>mixtral_8x7b_temp07</v>
      </c>
      <c r="C10" s="52" t="str">
        <f t="array" ref="C10">INDEX(Mixtral!$C5:$C7, MATCH(MAX(Mixtral!E5:E7),Mixtral!E5:E7))</f>
        <v>mixtral_8x7b_temp07</v>
      </c>
      <c r="D10" s="52" t="str">
        <f t="array" ref="D10">INDEX(Mixtral!$C5:$C7, MATCH(MAX(Mixtral!F5:F7),Mixtral!F5:F7))</f>
        <v>mixtral_8x7b_temp07</v>
      </c>
      <c r="E10" s="52" t="str">
        <f t="array" ref="E10">INDEX(Mixtral!$C5:$C7, MATCH(MAX(Mixtral!G5:G7),Mixtral!G5:G7))</f>
        <v>mixtral_8x7b_temp07</v>
      </c>
      <c r="F10" s="52" t="str">
        <f t="array" ref="F10">INDEX(Mixtral!$C5:$C7, MATCH(MAX(Mixtral!H5:H7),Mixtral!H5:H7))</f>
        <v>mixtral_8x7b_temp07</v>
      </c>
      <c r="G10" s="52" t="str">
        <f t="array" ref="G10">INDEX(Mixtral!$C5:$C7, MATCH(MAX(Mixtral!I5:I7),Mixtral!I5:I7))</f>
        <v>mixtral_8x7b_temp07</v>
      </c>
      <c r="H10" s="52" t="str">
        <f t="array" ref="H10">INDEX(Mixtral!$C5:$C7, MATCH(MAX(Mixtral!J5:J7),Mixtral!J5:J7))</f>
        <v>mixtral_8x7b_temp07</v>
      </c>
      <c r="I10" s="52" t="str">
        <f t="array" ref="I10">INDEX(Mixtral!$C5:$C7, MATCH(MAX(Mixtral!K5:K7),Mixtral!K5:K7))</f>
        <v>mixtral_8x7b_temp07</v>
      </c>
      <c r="J10" s="52" t="str">
        <f t="array" ref="J10">INDEX(Mixtral!$C5:$C7, MATCH(MAX(Mixtral!L5:L7),Mixtral!L5:L7))</f>
        <v>mixtral_8x7b_temp07</v>
      </c>
      <c r="K10" s="52" t="str">
        <f t="array" ref="K10">INDEX(Mixtral!$C5:$C7, MATCH(MAX(Mixtral!M5:M7),Mixtral!M5:M7))</f>
        <v>mixtral_8x7b_temp07</v>
      </c>
      <c r="L10" s="52" t="str">
        <f t="array" ref="L10">INDEX(Mixtral!$C5:$C7, MATCH(MAX(Mixtral!N5:N7),Mixtral!N5:N7))</f>
        <v>mixtral_8x7b_temp07</v>
      </c>
      <c r="M10" s="52" t="str">
        <f t="array" ref="M10">INDEX(Mixtral!$C5:$C7, MATCH(MAX(Mixtral!O5:O7),Mixtral!O5:O7))</f>
        <v>mixtral_8x7b_temp07</v>
      </c>
    </row>
    <row r="11">
      <c r="A11" s="51" t="s">
        <v>118</v>
      </c>
      <c r="B11" s="52" t="str">
        <f t="array" ref="B11">INDEX(Phi!$C2:$C4, MATCH(MAX(Phi!D2:D4), Phi!D2:D4))</f>
        <v>phi_3.5_vision_temp07</v>
      </c>
      <c r="C11" s="52" t="str">
        <f t="array" ref="C11">INDEX(Phi!$C2:$C4, MATCH(MAX(Phi!E2:E4), Phi!E2:E4))</f>
        <v>phi_3.5_vision_temp07</v>
      </c>
      <c r="D11" s="52" t="str">
        <f t="array" ref="D11">INDEX(Phi!$C2:$C4, MATCH(MAX(Phi!F2:F4), Phi!F2:F4))</f>
        <v>phi_3.5_vision_temp07</v>
      </c>
      <c r="E11" s="52" t="str">
        <f t="array" ref="E11">INDEX(Phi!$C2:$C4, MATCH(MAX(Phi!G2:G4), Phi!G2:G4))</f>
        <v>phi_3.5_vision_temp07</v>
      </c>
      <c r="F11" s="52" t="str">
        <f t="array" ref="F11">INDEX(Phi!$C2:$C4, MATCH(MAX(Phi!H2:H4), Phi!H2:H4))</f>
        <v>phi_3.5_vision_temp07</v>
      </c>
      <c r="G11" s="52" t="str">
        <f t="array" ref="G11">INDEX(Phi!$C2:$C4, MATCH(MAX(Phi!I2:I4), Phi!I2:I4))</f>
        <v>phi_3.5_vision_temp07</v>
      </c>
      <c r="H11" s="52" t="str">
        <f t="array" ref="H11">INDEX(Phi!$C2:$C4, MATCH(MAX(Phi!J2:J4), Phi!J2:J4))</f>
        <v>phi_3.5_vision_temp07</v>
      </c>
      <c r="I11" s="52" t="str">
        <f t="array" ref="I11">INDEX(Phi!$C2:$C4, MATCH(MAX(Phi!K2:K4), Phi!K2:K4))</f>
        <v>phi_3.5_vision_temp07</v>
      </c>
      <c r="J11" s="52" t="str">
        <f t="array" ref="J11">INDEX(Phi!$C2:$C4, MATCH(MAX(Phi!L2:L4), Phi!L2:L4))</f>
        <v>phi_3.5_vision_temp07</v>
      </c>
      <c r="K11" s="52" t="str">
        <f t="array" ref="K11">INDEX(Phi!$C2:$C4, MATCH(MAX(Phi!M2:M4), Phi!M2:M4))</f>
        <v>phi_3.5_vision_temp07</v>
      </c>
      <c r="L11" s="52" t="str">
        <f t="array" ref="L11">INDEX(Phi!$C2:$C4, MATCH(MAX(Phi!N2:N4), Phi!N2:N4))</f>
        <v>phi_3.5_vision_temp07</v>
      </c>
      <c r="M11" s="52" t="str">
        <f t="array" ref="M11">INDEX(Phi!$C2:$C4, MATCH(MAX(Phi!O2:O4), Phi!O2:O4))</f>
        <v>phi_3.5_vision_temp07</v>
      </c>
    </row>
    <row r="12">
      <c r="A12" s="51" t="s">
        <v>119</v>
      </c>
      <c r="B12" s="52" t="str">
        <f t="array" ref="B12">INDEX(Phi!$C5:$C7, MATCH(MAX(Phi!D5:D7),Phi!D5:D7))</f>
        <v>phi_3_mini_temp07</v>
      </c>
      <c r="C12" s="52" t="str">
        <f t="array" ref="C12">INDEX(Phi!$C5:$C7, MATCH(MAX(Phi!E5:E7),Phi!E5:E7))</f>
        <v>phi_3_mini_temp07</v>
      </c>
      <c r="D12" s="52" t="str">
        <f t="array" ref="D12">INDEX(Phi!$C5:$C7, MATCH(MAX(Phi!F5:F7),Phi!F5:F7))</f>
        <v>phi_3_mini_temp07</v>
      </c>
      <c r="E12" s="52" t="str">
        <f t="array" ref="E12">INDEX(Phi!$C5:$C7, MATCH(MAX(Phi!G5:G7),Phi!G5:G7))</f>
        <v>phi_3_mini_temp07</v>
      </c>
      <c r="F12" s="52" t="str">
        <f t="array" ref="F12">INDEX(Phi!$C5:$C7, MATCH(MAX(Phi!H5:H7),Phi!H5:H7))</f>
        <v>phi_3_mini_temp07</v>
      </c>
      <c r="G12" s="52" t="str">
        <f t="array" ref="G12">INDEX(Phi!$C5:$C7, MATCH(MAX(Phi!I5:I7),Phi!I5:I7))</f>
        <v>phi_3_mini_temp07</v>
      </c>
      <c r="H12" s="52" t="str">
        <f t="array" ref="H12">INDEX(Phi!$C5:$C7, MATCH(MAX(Phi!J5:J7),Phi!J5:J7))</f>
        <v>phi_3_mini_temp07</v>
      </c>
      <c r="I12" s="52" t="str">
        <f t="array" ref="I12">INDEX(Phi!$C5:$C7, MATCH(MAX(Phi!K5:K7),Phi!K5:K7))</f>
        <v>phi_3_mini_temp07</v>
      </c>
      <c r="J12" s="52" t="str">
        <f t="array" ref="J12">INDEX(Phi!$C5:$C7, MATCH(MAX(Phi!L5:L7),Phi!L5:L7))</f>
        <v>phi_3_mini_temp07</v>
      </c>
      <c r="K12" s="52" t="str">
        <f t="array" ref="K12">INDEX(Phi!$C5:$C7, MATCH(MAX(Phi!M5:M7),Phi!M5:M7))</f>
        <v>phi_3_mini_temp07</v>
      </c>
      <c r="L12" s="52" t="str">
        <f t="array" ref="L12">INDEX(Phi!$C5:$C7, MATCH(MAX(Phi!N5:N7),Phi!N5:N7))</f>
        <v>phi_3_mini_temp07</v>
      </c>
      <c r="M12" s="52" t="str">
        <f t="array" ref="M12">INDEX(Phi!$C5:$C7, MATCH(MAX(Phi!O5:O7),Phi!O5:O7))</f>
        <v>phi_3_mini_temp07</v>
      </c>
    </row>
    <row r="13">
      <c r="A13" s="51" t="s">
        <v>120</v>
      </c>
      <c r="B13" s="52" t="str">
        <f t="array" ref="B13">INDEX(Qwen!$C2:$C4, MATCH(MAX(Qwen!D2:D4), Qwen!D2:D4))</f>
        <v>qwen2_72b_temp07</v>
      </c>
      <c r="C13" s="52" t="str">
        <f t="array" ref="C13">INDEX(Qwen!$C2:$C4, MATCH(MAX(Qwen!E2:E4), Qwen!E2:E4))</f>
        <v>qwen2_72b_temp07</v>
      </c>
      <c r="D13" s="52" t="str">
        <f t="array" ref="D13">INDEX(Qwen!$C2:$C4, MATCH(MAX(Qwen!F2:F4), Qwen!F2:F4))</f>
        <v>qwen2_72b_temp07</v>
      </c>
      <c r="E13" s="52" t="str">
        <f t="array" ref="E13">INDEX(Qwen!$C2:$C4, MATCH(MAX(Qwen!G2:G4), Qwen!G2:G4))</f>
        <v>qwen2_72b_temp07</v>
      </c>
      <c r="F13" s="52" t="str">
        <f t="array" ref="F13">INDEX(Qwen!$C2:$C4, MATCH(MAX(Qwen!H2:H4), Qwen!H2:H4))</f>
        <v>qwen2_72b_temp07</v>
      </c>
      <c r="G13" s="52" t="str">
        <f t="array" ref="G13">INDEX(Qwen!$C2:$C4, MATCH(MAX(Qwen!I2:I4), Qwen!I2:I4))</f>
        <v>qwen2_72b_temp07</v>
      </c>
      <c r="H13" s="52" t="str">
        <f t="array" ref="H13">INDEX(Qwen!$C2:$C4, MATCH(MAX(Qwen!J2:J4), Qwen!J2:J4))</f>
        <v>qwen2_72b_temp07</v>
      </c>
      <c r="I13" s="52" t="str">
        <f t="array" ref="I13">INDEX(Qwen!$C2:$C4, MATCH(MAX(Qwen!K2:K4), Qwen!K2:K4))</f>
        <v>qwen2_72b_temp07</v>
      </c>
      <c r="J13" s="52" t="str">
        <f t="array" ref="J13">INDEX(Qwen!$C2:$C4, MATCH(MAX(Qwen!L2:L4), Qwen!L2:L4))</f>
        <v>qwen2_72b_temp07</v>
      </c>
      <c r="K13" s="52" t="str">
        <f t="array" ref="K13">INDEX(Qwen!$C2:$C4, MATCH(MAX(Qwen!M2:M4), Qwen!M2:M4))</f>
        <v>qwen2_72b_temp07</v>
      </c>
      <c r="L13" s="52" t="str">
        <f t="array" ref="L13">INDEX(Qwen!$C2:$C4, MATCH(MAX(Qwen!N2:N4), Qwen!N2:N4))</f>
        <v>qwen2_72b_temp07</v>
      </c>
      <c r="M13" s="52" t="str">
        <f t="array" ref="M13">INDEX(Qwen!$C2:$C4, MATCH(MAX(Qwen!O2:O4), Qwen!O2:O4))</f>
        <v>qwen2_72b_temp07</v>
      </c>
    </row>
    <row r="14">
      <c r="A14" s="51" t="s">
        <v>121</v>
      </c>
      <c r="B14" s="52" t="str">
        <f t="array" ref="B14">INDEX(Qwen!$C5:$C7, MATCH(MAX(Qwen!D5:D7),Qwen!D5:D7))</f>
        <v>qwen2_7b_temp07</v>
      </c>
      <c r="C14" s="52" t="str">
        <f t="array" ref="C14">INDEX(Qwen!$C5:$C7, MATCH(MAX(Qwen!E5:E7),Qwen!E5:E7))</f>
        <v>qwen2_7b_temp07</v>
      </c>
      <c r="D14" s="52" t="str">
        <f t="array" ref="D14">INDEX(Qwen!$C5:$C7, MATCH(MAX(Qwen!F5:F7),Qwen!F5:F7))</f>
        <v>qwen2_7b_temp07</v>
      </c>
      <c r="E14" s="52" t="str">
        <f t="array" ref="E14">INDEX(Qwen!$C5:$C7, MATCH(MAX(Qwen!G5:G7),Qwen!G5:G7))</f>
        <v>qwen2_7b_temp07</v>
      </c>
      <c r="F14" s="52" t="str">
        <f t="array" ref="F14">INDEX(Qwen!$C5:$C7, MATCH(MAX(Qwen!H5:H7),Qwen!H5:H7))</f>
        <v>qwen2_7b_temp07</v>
      </c>
      <c r="G14" s="52" t="str">
        <f t="array" ref="G14">INDEX(Qwen!$C5:$C7, MATCH(MAX(Qwen!I5:I7),Qwen!I5:I7))</f>
        <v>qwen2_7b_temp07</v>
      </c>
      <c r="H14" s="52" t="str">
        <f t="array" ref="H14">INDEX(Qwen!$C5:$C7, MATCH(MAX(Qwen!J5:J7),Qwen!J5:J7))</f>
        <v>qwen2_7b_temp07</v>
      </c>
      <c r="I14" s="52" t="str">
        <f t="array" ref="I14">INDEX(Qwen!$C5:$C7, MATCH(MAX(Qwen!K5:K7),Qwen!K5:K7))</f>
        <v>qwen2_7b_temp07</v>
      </c>
      <c r="J14" s="52" t="str">
        <f t="array" ref="J14">INDEX(Qwen!$C5:$C7, MATCH(MAX(Qwen!L5:L7),Qwen!L5:L7))</f>
        <v>qwen2_7b_temp07</v>
      </c>
      <c r="K14" s="52" t="str">
        <f t="array" ref="K14">INDEX(Qwen!$C5:$C7, MATCH(MAX(Qwen!M5:M7),Qwen!M5:M7))</f>
        <v>qwen2_7b_temp07</v>
      </c>
      <c r="L14" s="52" t="str">
        <f t="array" ref="L14">INDEX(Qwen!$C5:$C7, MATCH(MAX(Qwen!N5:N7),Qwen!N5:N7))</f>
        <v>qwen2_7b_temp07</v>
      </c>
      <c r="M14" s="52" t="str">
        <f t="array" ref="M14">INDEX(Qwen!$C5:$C7, MATCH(MAX(Qwen!O5:O7),Qwen!O5:O7))</f>
        <v>qwen2_7b_temp07</v>
      </c>
    </row>
    <row r="15">
      <c r="A15" s="51" t="s">
        <v>122</v>
      </c>
      <c r="B15" s="52" t="str">
        <f t="array" ref="B15">INDEX(Sabia!$C2:$C4, MATCH(MAX(Sabia!D2:D4), Sabia!D2:D4, 0))</f>
        <v>sabia3_temp05</v>
      </c>
      <c r="C15" s="52" t="str">
        <f t="array" ref="C15">INDEX(Sabia!$C2:$C4, MATCH(MAX(Sabia!E2:E4), Sabia!E2:E4, 0))</f>
        <v>sabia3_temp07</v>
      </c>
      <c r="D15" s="52" t="str">
        <f t="array" ref="D15">INDEX(Sabia!$C2:$C4, MATCH(MAX(Sabia!F2:F4), Sabia!F2:F4, 0))</f>
        <v>sabia3_temp05</v>
      </c>
      <c r="E15" s="52" t="str">
        <f t="array" ref="E15">INDEX(Sabia!$C2:$C4, MATCH(MAX(Sabia!G2:G4), Sabia!G2:G4, 0))</f>
        <v>sabia3_temp05</v>
      </c>
      <c r="F15" s="52" t="str">
        <f t="array" ref="F15">INDEX(Sabia!$C2:$C4, MATCH(MAX(Sabia!H2:H4), Sabia!H2:H4, 0))</f>
        <v>sabia3_temp05</v>
      </c>
      <c r="G15" s="52" t="str">
        <f t="array" ref="G15">INDEX(Sabia!$C2:$C4, MATCH(MAX(Sabia!I2:I4), Sabia!I2:I4, 0))</f>
        <v>sabia3_temp05</v>
      </c>
      <c r="H15" s="52" t="str">
        <f t="array" ref="H15">INDEX(Sabia!$C2:$C4, MATCH(MAX(Sabia!J2:J4), Sabia!J2:J4, 0))</f>
        <v>sabia3_temp03</v>
      </c>
      <c r="I15" s="52" t="str">
        <f t="array" ref="I15">INDEX(Sabia!$C2:$C4, MATCH(MAX(Sabia!K2:K4), Sabia!K2:K4, 0))</f>
        <v>sabia3_temp07</v>
      </c>
      <c r="J15" s="52" t="str">
        <f t="array" ref="J15">INDEX(Sabia!$C2:$C4, MATCH(MAX(Sabia!L2:L4), Sabia!L2:L4, 0))</f>
        <v>sabia3_temp03</v>
      </c>
      <c r="K15" s="52" t="str">
        <f t="array" ref="K15">INDEX(Sabia!$C2:$C4, MATCH(MAX(Sabia!M2:M4), Sabia!M2:M4, 0))</f>
        <v>sabia3_temp03</v>
      </c>
      <c r="L15" s="52" t="str">
        <f t="array" ref="L15">INDEX(Sabia!$C2:$C4, MATCH(MAX(Sabia!N2:N4), Sabia!N2:N4, 0))</f>
        <v>sabia3_temp03</v>
      </c>
      <c r="M15" s="52" t="str">
        <f t="array" ref="M15">INDEX(Sabia!$C2:$C4, MATCH(MAX(Sabia!O2:O4), Sabia!O2:O4, 0))</f>
        <v>sabia3_temp03</v>
      </c>
    </row>
    <row r="17">
      <c r="B17" s="13" t="s">
        <v>90</v>
      </c>
    </row>
    <row r="18">
      <c r="B18" s="50" t="s">
        <v>3</v>
      </c>
      <c r="C18" s="50" t="s">
        <v>4</v>
      </c>
      <c r="D18" s="50" t="s">
        <v>5</v>
      </c>
      <c r="E18" s="50" t="s">
        <v>6</v>
      </c>
      <c r="F18" s="50" t="s">
        <v>7</v>
      </c>
      <c r="G18" s="50" t="s">
        <v>8</v>
      </c>
      <c r="H18" s="50" t="s">
        <v>9</v>
      </c>
      <c r="I18" s="50" t="s">
        <v>10</v>
      </c>
      <c r="J18" s="50" t="s">
        <v>11</v>
      </c>
      <c r="K18" s="50" t="s">
        <v>12</v>
      </c>
      <c r="L18" s="50" t="s">
        <v>13</v>
      </c>
      <c r="M18" s="50" t="s">
        <v>14</v>
      </c>
    </row>
    <row r="19">
      <c r="A19" s="51" t="s">
        <v>110</v>
      </c>
      <c r="B19" s="52" t="str">
        <f t="array" ref="B19">INDEX(Command!$C5:$C7, MATCH(MAX(Command!D5:D7), Command!D5:D7, 0))</f>
        <v>command_r_plus_08_2024_temp05</v>
      </c>
      <c r="C19" s="52" t="str">
        <f t="array" ref="C19">INDEX(Command!$C5:$C7, MATCH(MAX(Command!E5:E7), Command!E5:E7, 0))</f>
        <v>command_r_plus_08_2024_temp07</v>
      </c>
      <c r="D19" s="52" t="str">
        <f t="array" ref="D19">INDEX(Command!$C5:$C7, MATCH(MAX(Command!F5:F7), Command!F5:F7, 0))</f>
        <v>command_r_plus_08_2024_temp05</v>
      </c>
      <c r="E19" s="52" t="str">
        <f t="array" ref="E19">INDEX(Command!$C5:$C7, MATCH(MAX(Command!G5:G7), Command!G5:G7, 0))</f>
        <v>command_r_plus_08_2024_temp07</v>
      </c>
      <c r="F19" s="52" t="str">
        <f t="array" ref="F19">INDEX(Command!$C5:$C7, MATCH(MAX(Command!H5:H7), Command!H5:H7, 0))</f>
        <v>command_r_plus_08_2024_temp05</v>
      </c>
      <c r="G19" s="52" t="str">
        <f t="array" ref="G19">INDEX(Command!$C5:$C7, MATCH(MAX(Command!I5:I7), Command!I5:I7, 0))</f>
        <v>command_r_plus_08_2024_temp03</v>
      </c>
      <c r="H19" s="52" t="str">
        <f t="array" ref="H19">INDEX(Command!$C5:$C7, MATCH(MAX(Command!J5:J7), Command!J5:J7, 0))</f>
        <v>command_r_plus_08_2024_temp05</v>
      </c>
      <c r="I19" s="52" t="str">
        <f t="array" ref="I19">INDEX(Command!$C5:$C7, MATCH(MAX(Command!K5:K7), Command!K5:K7, 0))</f>
        <v>command_r_plus_08_2024_temp03</v>
      </c>
      <c r="J19" s="52" t="str">
        <f t="array" ref="J19">INDEX(Command!$C5:$C7, MATCH(MAX(Command!L5:L7), Command!L5:L7, 0))</f>
        <v>command_r_plus_08_2024_temp03</v>
      </c>
      <c r="K19" s="52" t="str">
        <f t="array" ref="K19">INDEX(Command!$C5:$C7, MATCH(MAX(Command!M5:M7), Command!M5:M7, 0))</f>
        <v>command_r_plus_08_2024_temp03</v>
      </c>
      <c r="L19" s="52" t="str">
        <f t="array" ref="L19">INDEX(Command!$C5:$C7, MATCH(MAX(Command!N5:N7), Command!N5:N7, 0))</f>
        <v>command_r_plus_08_2024_temp03</v>
      </c>
      <c r="M19" s="52" t="str">
        <f t="array" ref="M19">INDEX(Command!$C5:$C7, MATCH(MAX(Command!O5:O7), Command!O5:O7, 0))</f>
        <v>command_r_plus_08_2024_temp03</v>
      </c>
    </row>
    <row r="20">
      <c r="A20" s="51" t="s">
        <v>111</v>
      </c>
      <c r="B20" s="52" t="str">
        <f t="array" ref="B20">INDEX(Gemma!$C8:$C10, MATCH(MAX(Gemma!D8:D10), Gemma!D8:D10))</f>
        <v>gemma_27b_temp07</v>
      </c>
      <c r="C20" s="52" t="str">
        <f t="array" ref="C20">INDEX(Gemma!$C8:$C10, MATCH(MAX(Gemma!E8:E10), Gemma!E8:E10))</f>
        <v>gemma_27b_temp07</v>
      </c>
      <c r="D20" s="52" t="str">
        <f t="array" ref="D20">INDEX(Gemma!$C8:$C10, MATCH(MAX(Gemma!F8:F10), Gemma!F8:F10))</f>
        <v>gemma_27b_temp07</v>
      </c>
      <c r="E20" s="52" t="str">
        <f t="array" ref="E20">INDEX(Gemma!$C8:$C10, MATCH(MAX(Gemma!G8:G10), Gemma!G8:G10))</f>
        <v>gemma_27b_temp07</v>
      </c>
      <c r="F20" s="52" t="str">
        <f t="array" ref="F20">INDEX(Gemma!$C8:$C10, MATCH(MAX(Gemma!H8:H10), Gemma!H8:H10))</f>
        <v>gemma_27b_temp07</v>
      </c>
      <c r="G20" s="52" t="str">
        <f t="array" ref="G20">INDEX(Gemma!$C8:$C10, MATCH(MAX(Gemma!I8:I10), Gemma!I8:I10))</f>
        <v>gemma_27b_temp07</v>
      </c>
      <c r="H20" s="52" t="str">
        <f t="array" ref="H20">INDEX(Gemma!$C8:$C10, MATCH(MAX(Gemma!J8:J10), Gemma!J8:J10))</f>
        <v>gemma_27b_temp07</v>
      </c>
      <c r="I20" s="52" t="str">
        <f t="array" ref="I20">INDEX(Gemma!$C8:$C10, MATCH(MAX(Gemma!K8:K10), Gemma!K8:K10))</f>
        <v>gemma_27b_temp07</v>
      </c>
      <c r="J20" s="52" t="str">
        <f t="array" ref="J20">INDEX(Gemma!$C8:$C10, MATCH(MAX(Gemma!L8:L10), Gemma!L8:L10))</f>
        <v>gemma_27b_temp07</v>
      </c>
      <c r="K20" s="52" t="str">
        <f t="array" ref="K20">INDEX(Gemma!$C8:$C10, MATCH(MAX(Gemma!M8:M10), Gemma!M8:M10))</f>
        <v>gemma_27b_temp07</v>
      </c>
      <c r="L20" s="52" t="str">
        <f t="array" ref="L20">INDEX(Gemma!$C8:$C10, MATCH(MAX(Gemma!N8:N10), Gemma!N8:N10))</f>
        <v>gemma_27b_temp07</v>
      </c>
      <c r="M20" s="52" t="str">
        <f t="array" ref="M20">INDEX(Gemma!$C8:$C10, MATCH(MAX(Gemma!O8:O10), Gemma!O8:O10))</f>
        <v>gemma_27b_temp07</v>
      </c>
    </row>
    <row r="21" ht="15.75" customHeight="1">
      <c r="A21" s="51" t="s">
        <v>112</v>
      </c>
      <c r="B21" s="52" t="str">
        <f t="array" ref="B21">INDEX(Gemma!$C11:$C13, MATCH(MAX(Gemma!D11:D13),Gemma!D11:D13))</f>
        <v>gemma_9b_temp07</v>
      </c>
      <c r="C21" s="52" t="str">
        <f t="array" ref="C21">INDEX(Gemma!$C11:$C13, MATCH(MAX(Gemma!E11:E13),Gemma!E11:E13))</f>
        <v>gemma_9b_temp07</v>
      </c>
      <c r="D21" s="52" t="str">
        <f t="array" ref="D21">INDEX(Gemma!$C11:$C13, MATCH(MAX(Gemma!F11:F13),Gemma!F11:F13))</f>
        <v>gemma_9b_temp07</v>
      </c>
      <c r="E21" s="52" t="str">
        <f t="array" ref="E21">INDEX(Gemma!$C11:$C13, MATCH(MAX(Gemma!G11:G13),Gemma!G11:G13))</f>
        <v>gemma_9b_temp07</v>
      </c>
      <c r="F21" s="52" t="str">
        <f t="array" ref="F21">INDEX(Gemma!$C11:$C13, MATCH(MAX(Gemma!H11:H13),Gemma!H11:H13))</f>
        <v>gemma_9b_temp07</v>
      </c>
      <c r="G21" s="52" t="str">
        <f t="array" ref="G21">INDEX(Gemma!$C11:$C13, MATCH(MAX(Gemma!I11:I13),Gemma!I11:I13))</f>
        <v>gemma_9b_temp07</v>
      </c>
      <c r="H21" s="52" t="str">
        <f t="array" ref="H21">INDEX(Gemma!$C11:$C13, MATCH(MAX(Gemma!J11:J13),Gemma!J11:J13))</f>
        <v>gemma_9b_temp07</v>
      </c>
      <c r="I21" s="52" t="str">
        <f t="array" ref="I21">INDEX(Gemma!$C11:$C13, MATCH(MAX(Gemma!K11:K13),Gemma!K11:K13))</f>
        <v>gemma_9b_temp07</v>
      </c>
      <c r="J21" s="52" t="str">
        <f t="array" ref="J21">INDEX(Gemma!$C11:$C13, MATCH(MAX(Gemma!L11:L13),Gemma!L11:L13))</f>
        <v>gemma_9b_temp07</v>
      </c>
      <c r="K21" s="52" t="str">
        <f t="array" ref="K21">INDEX(Gemma!$C11:$C13, MATCH(MAX(Gemma!M11:M13),Gemma!M11:M13))</f>
        <v>gemma_9b_temp07</v>
      </c>
      <c r="L21" s="52" t="str">
        <f t="array" ref="L21">INDEX(Gemma!$C11:$C13, MATCH(MAX(Gemma!N11:N13),Gemma!N11:N13))</f>
        <v>gemma_9b_temp07</v>
      </c>
      <c r="M21" s="52" t="str">
        <f t="array" ref="M21">INDEX(Gemma!$C11:$C13, MATCH(MAX(Gemma!O11:O13),Gemma!O11:O13))</f>
        <v>gemma_9b_temp07</v>
      </c>
    </row>
    <row r="22" ht="15.75" customHeight="1">
      <c r="A22" s="51" t="s">
        <v>113</v>
      </c>
      <c r="B22" s="52" t="str">
        <f t="array" ref="B22">INDEX(GPT!$C:$C, MATCH(MAX(GPT!D5:D7),GPT!D5:D7))</f>
        <v>gpt4o_temp05</v>
      </c>
      <c r="C22" s="52" t="str">
        <f t="array" ref="C22">INDEX(GPT!$C:$C, MATCH(MAX(GPT!E5:E7),GPT!E5:E7))</f>
        <v>gpt4o_temp05</v>
      </c>
      <c r="D22" s="52" t="str">
        <f t="array" ref="D22">INDEX(GPT!$C:$C, MATCH(MAX(GPT!F5:F7),GPT!F5:F7))</f>
        <v>gpt4o_temp05</v>
      </c>
      <c r="E22" s="52" t="str">
        <f t="array" ref="E22">INDEX(GPT!$C:$C, MATCH(MAX(GPT!G5:G7),GPT!G5:G7))</f>
        <v>gpt4o_temp05</v>
      </c>
      <c r="F22" s="52" t="str">
        <f t="array" ref="F22">INDEX(GPT!$C:$C, MATCH(MAX(GPT!H5:H7),GPT!H5:H7))</f>
        <v>gpt4o_temp05</v>
      </c>
      <c r="G22" s="52" t="str">
        <f t="array" ref="G22">INDEX(GPT!$C:$C, MATCH(MAX(GPT!I5:I7),GPT!I5:I7))</f>
        <v>gpt4o_temp05</v>
      </c>
      <c r="H22" s="52" t="str">
        <f t="array" ref="H22">INDEX(GPT!$C:$C, MATCH(MAX(GPT!J5:J7),GPT!J5:J7))</f>
        <v>gpt4o_temp05</v>
      </c>
      <c r="I22" s="52" t="str">
        <f t="array" ref="I22">INDEX(GPT!$C:$C, MATCH(MAX(GPT!K5:K7),GPT!K5:K7))</f>
        <v>gpt4o_temp05</v>
      </c>
      <c r="J22" s="52" t="str">
        <f t="array" ref="J22">INDEX(GPT!$C:$C, MATCH(MAX(GPT!L5:L7),GPT!L5:L7))</f>
        <v>gpt4o_temp05</v>
      </c>
      <c r="K22" s="52" t="str">
        <f t="array" ref="K22">INDEX(GPT!$C:$C, MATCH(MAX(GPT!M5:M7),GPT!M5:M7))</f>
        <v>gpt4o_temp05</v>
      </c>
      <c r="L22" s="52" t="str">
        <f t="array" ref="L22">INDEX(GPT!$C:$C, MATCH(MAX(GPT!N5:N7),GPT!N5:N7))</f>
        <v>gpt4o_temp05</v>
      </c>
      <c r="M22" s="52" t="str">
        <f t="array" ref="M22">INDEX(GPT!$C:$C, MATCH(MAX(GPT!O5:O7),GPT!O5:O7))</f>
        <v>gpt4o_temp05</v>
      </c>
    </row>
    <row r="23" ht="15.75" customHeight="1">
      <c r="A23" s="51" t="s">
        <v>114</v>
      </c>
      <c r="B23" s="52" t="str">
        <f t="array" ref="B23">INDEX(Llama!$C8:$C10, MATCH(MAX(Llama!D8:D10), Llama!D8:D10))</f>
        <v>llama_405b_temp07</v>
      </c>
      <c r="C23" s="52" t="str">
        <f t="array" ref="C23">INDEX(Llama!$C8:$C10, MATCH(MAX(Llama!E8:E10), Llama!E8:E10))</f>
        <v>llama_405b_temp07</v>
      </c>
      <c r="D23" s="52" t="str">
        <f t="array" ref="D23">INDEX(Llama!$C8:$C10, MATCH(MAX(Llama!F8:F10), Llama!F8:F10))</f>
        <v>llama_405b_temp07</v>
      </c>
      <c r="E23" s="52" t="str">
        <f t="array" ref="E23">INDEX(Llama!$C8:$C10, MATCH(MAX(Llama!G8:G10), Llama!G8:G10))</f>
        <v>llama_405b_temp07</v>
      </c>
      <c r="F23" s="52" t="str">
        <f t="array" ref="F23">INDEX(Llama!$C8:$C10, MATCH(MAX(Llama!H8:H10), Llama!H8:H10))</f>
        <v>llama_405b_temp07</v>
      </c>
      <c r="G23" s="52" t="str">
        <f t="array" ref="G23">INDEX(Llama!$C8:$C10, MATCH(MAX(Llama!I8:I10), Llama!I8:I10))</f>
        <v>llama_405b_temp07</v>
      </c>
      <c r="H23" s="52" t="str">
        <f t="array" ref="H23">INDEX(Llama!$C8:$C10, MATCH(MAX(Llama!J8:J10), Llama!J8:J10))</f>
        <v>llama_405b_temp07</v>
      </c>
      <c r="I23" s="52" t="str">
        <f t="array" ref="I23">INDEX(Llama!$C8:$C10, MATCH(MAX(Llama!K8:K10), Llama!K8:K10))</f>
        <v>llama_405b_temp07</v>
      </c>
      <c r="J23" s="52" t="str">
        <f t="array" ref="J23">INDEX(Llama!$C8:$C10, MATCH(MAX(Llama!L8:L10), Llama!L8:L10))</f>
        <v>llama_405b_temp07</v>
      </c>
      <c r="K23" s="52" t="str">
        <f t="array" ref="K23">INDEX(Llama!$C8:$C10, MATCH(MAX(Llama!M8:M10), Llama!M8:M10))</f>
        <v>llama_405b_temp07</v>
      </c>
      <c r="L23" s="52" t="str">
        <f t="array" ref="L23">INDEX(Llama!$C8:$C10, MATCH(MAX(Llama!N8:N10), Llama!N8:N10))</f>
        <v>llama_405b_temp07</v>
      </c>
      <c r="M23" s="52" t="str">
        <f t="array" ref="M23">INDEX(Llama!$C8:$C10, MATCH(MAX(Llama!O8:O10), Llama!O8:O10))</f>
        <v>llama_405b_temp07</v>
      </c>
    </row>
    <row r="24" ht="15.75" customHeight="1">
      <c r="A24" s="51" t="s">
        <v>115</v>
      </c>
      <c r="B24" s="52" t="str">
        <f t="array" ref="B24">INDEX(Llama!$C11:$C13, MATCH(MAX(Llama!D11:D13),Llama!D11:D13))</f>
        <v>llama_8b_temp07</v>
      </c>
      <c r="C24" s="52" t="str">
        <f t="array" ref="C24">INDEX(Llama!$C11:$C13, MATCH(MAX(Llama!E11:E13),Llama!E11:E13))</f>
        <v>llama_8b_temp07</v>
      </c>
      <c r="D24" s="52" t="str">
        <f t="array" ref="D24">INDEX(Llama!$C11:$C13, MATCH(MAX(Llama!F11:F13),Llama!F11:F13))</f>
        <v>llama_8b_temp07</v>
      </c>
      <c r="E24" s="52" t="str">
        <f t="array" ref="E24">INDEX(Llama!$C11:$C13, MATCH(MAX(Llama!G11:G13),Llama!G11:G13))</f>
        <v>llama_8b_temp07</v>
      </c>
      <c r="F24" s="52" t="str">
        <f t="array" ref="F24">INDEX(Llama!$C11:$C13, MATCH(MAX(Llama!H11:H13),Llama!H11:H13))</f>
        <v>llama_8b_temp07</v>
      </c>
      <c r="G24" s="52" t="str">
        <f t="array" ref="G24">INDEX(Llama!$C11:$C13, MATCH(MAX(Llama!I11:I13),Llama!I11:I13))</f>
        <v>llama_8b_temp07</v>
      </c>
      <c r="H24" s="52" t="str">
        <f t="array" ref="H24">INDEX(Llama!$C11:$C13, MATCH(MAX(Llama!J11:J13),Llama!J11:J13))</f>
        <v>llama_8b_temp07</v>
      </c>
      <c r="I24" s="52" t="str">
        <f t="array" ref="I24">INDEX(Llama!$C11:$C13, MATCH(MAX(Llama!K11:K13),Llama!K11:K13))</f>
        <v>llama_8b_temp07</v>
      </c>
      <c r="J24" s="52" t="str">
        <f t="array" ref="J24">INDEX(Llama!$C11:$C13, MATCH(MAX(Llama!L11:L13),Llama!L11:L13))</f>
        <v>llama_8b_temp07</v>
      </c>
      <c r="K24" s="52" t="str">
        <f t="array" ref="K24">INDEX(Llama!$C11:$C13, MATCH(MAX(Llama!M11:M13),Llama!M11:M13))</f>
        <v>llama_8b_temp07</v>
      </c>
      <c r="L24" s="52" t="str">
        <f t="array" ref="L24">INDEX(Llama!$C11:$C13, MATCH(MAX(Llama!N11:N13),Llama!N11:N13))</f>
        <v>llama_8b_temp07</v>
      </c>
      <c r="M24" s="52" t="str">
        <f t="array" ref="M24">INDEX(Llama!$C11:$C13, MATCH(MAX(Llama!O11:O13),Llama!O11:O13))</f>
        <v>llama_8b_temp07</v>
      </c>
    </row>
    <row r="25" ht="15.75" customHeight="1">
      <c r="A25" s="51" t="s">
        <v>116</v>
      </c>
      <c r="B25" s="52" t="str">
        <f t="array" ref="B25">INDEX(Mixtral!$C8:$C10, MATCH(MAX(Mixtral!D8:D10), Mixtral!D8:D10))</f>
        <v>mixtral_8x22b_temp07</v>
      </c>
      <c r="C25" s="52" t="str">
        <f t="array" ref="C25">INDEX(Mixtral!$C8:$C10, MATCH(MAX(Mixtral!E8:E10), Mixtral!E8:E10))</f>
        <v>mixtral_8x22b_temp07</v>
      </c>
      <c r="D25" s="52" t="str">
        <f t="array" ref="D25">INDEX(Mixtral!$C8:$C10, MATCH(MAX(Mixtral!F8:F10), Mixtral!F8:F10))</f>
        <v>mixtral_8x22b_temp07</v>
      </c>
      <c r="E25" s="52" t="str">
        <f t="array" ref="E25">INDEX(Mixtral!$C8:$C10, MATCH(MAX(Mixtral!G8:G10), Mixtral!G8:G10))</f>
        <v>mixtral_8x22b_temp07</v>
      </c>
      <c r="F25" s="52" t="str">
        <f t="array" ref="F25">INDEX(Mixtral!$C8:$C10, MATCH(MAX(Mixtral!H8:H10), Mixtral!H8:H10))</f>
        <v>mixtral_8x22b_temp07</v>
      </c>
      <c r="G25" s="52" t="str">
        <f t="array" ref="G25">INDEX(Mixtral!$C8:$C10, MATCH(MAX(Mixtral!I8:I10), Mixtral!I8:I10))</f>
        <v>mixtral_8x22b_temp07</v>
      </c>
      <c r="H25" s="52" t="str">
        <f t="array" ref="H25">INDEX(Mixtral!$C8:$C10, MATCH(MAX(Mixtral!J8:J10), Mixtral!J8:J10))</f>
        <v>mixtral_8x22b_temp07</v>
      </c>
      <c r="I25" s="52" t="str">
        <f t="array" ref="I25">INDEX(Mixtral!$C8:$C10, MATCH(MAX(Mixtral!K8:K10), Mixtral!K8:K10))</f>
        <v>mixtral_8x22b_temp07</v>
      </c>
      <c r="J25" s="52" t="str">
        <f t="array" ref="J25">INDEX(Mixtral!$C8:$C10, MATCH(MAX(Mixtral!L8:L10), Mixtral!L8:L10))</f>
        <v>mixtral_8x22b_temp07</v>
      </c>
      <c r="K25" s="52" t="str">
        <f t="array" ref="K25">INDEX(Mixtral!$C8:$C10, MATCH(MAX(Mixtral!M8:M10), Mixtral!M8:M10))</f>
        <v>mixtral_8x22b_temp07</v>
      </c>
      <c r="L25" s="52" t="str">
        <f t="array" ref="L25">INDEX(Mixtral!$C8:$C10, MATCH(MAX(Mixtral!N8:N10), Mixtral!N8:N10))</f>
        <v>mixtral_8x22b_temp07</v>
      </c>
      <c r="M25" s="52" t="str">
        <f t="array" ref="M25">INDEX(Mixtral!$C8:$C10, MATCH(MAX(Mixtral!O8:O10), Mixtral!O8:O10))</f>
        <v>mixtral_8x22b_temp07</v>
      </c>
    </row>
    <row r="26" ht="15.75" customHeight="1">
      <c r="A26" s="51" t="s">
        <v>117</v>
      </c>
      <c r="B26" s="52" t="str">
        <f t="array" ref="B26">INDEX(Mixtral!$C11:$C13, MATCH(MAX(Mixtral!D11:D13),Mixtral!D11:D13))</f>
        <v>mixtral_8x7b_temp07</v>
      </c>
      <c r="C26" s="52" t="str">
        <f t="array" ref="C26">INDEX(Mixtral!$C11:$C13, MATCH(MAX(Mixtral!E11:E13),Mixtral!E11:E13))</f>
        <v>mixtral_8x7b_temp07</v>
      </c>
      <c r="D26" s="52" t="str">
        <f t="array" ref="D26">INDEX(Mixtral!$C11:$C13, MATCH(MAX(Mixtral!F11:F13),Mixtral!F11:F13))</f>
        <v>mixtral_8x7b_temp07</v>
      </c>
      <c r="E26" s="52" t="str">
        <f t="array" ref="E26">INDEX(Mixtral!$C11:$C13, MATCH(MAX(Mixtral!G11:G13),Mixtral!G11:G13))</f>
        <v>mixtral_8x7b_temp07</v>
      </c>
      <c r="F26" s="52" t="str">
        <f t="array" ref="F26">INDEX(Mixtral!$C11:$C13, MATCH(MAX(Mixtral!H11:H13),Mixtral!H11:H13))</f>
        <v>mixtral_8x7b_temp07</v>
      </c>
      <c r="G26" s="52" t="str">
        <f t="array" ref="G26">INDEX(Mixtral!$C11:$C13, MATCH(MAX(Mixtral!I11:I13),Mixtral!I11:I13))</f>
        <v>mixtral_8x7b_temp07</v>
      </c>
      <c r="H26" s="52" t="str">
        <f t="array" ref="H26">INDEX(Mixtral!$C11:$C13, MATCH(MAX(Mixtral!J11:J13),Mixtral!J11:J13))</f>
        <v>mixtral_8x7b_temp07</v>
      </c>
      <c r="I26" s="52" t="str">
        <f t="array" ref="I26">INDEX(Mixtral!$C11:$C13, MATCH(MAX(Mixtral!K11:K13),Mixtral!K11:K13))</f>
        <v>mixtral_8x7b_temp07</v>
      </c>
      <c r="J26" s="52" t="str">
        <f t="array" ref="J26">INDEX(Mixtral!$C11:$C13, MATCH(MAX(Mixtral!L11:L13),Mixtral!L11:L13))</f>
        <v>mixtral_8x7b_temp07</v>
      </c>
      <c r="K26" s="52" t="str">
        <f t="array" ref="K26">INDEX(Mixtral!$C11:$C13, MATCH(MAX(Mixtral!M11:M13),Mixtral!M11:M13))</f>
        <v>mixtral_8x7b_temp07</v>
      </c>
      <c r="L26" s="52" t="str">
        <f t="array" ref="L26">INDEX(Mixtral!$C11:$C13, MATCH(MAX(Mixtral!N11:N13),Mixtral!N11:N13))</f>
        <v>mixtral_8x7b_temp07</v>
      </c>
      <c r="M26" s="52" t="str">
        <f t="array" ref="M26">INDEX(Mixtral!$C11:$C13, MATCH(MAX(Mixtral!O11:O13),Mixtral!O11:O13))</f>
        <v>mixtral_8x7b_temp07</v>
      </c>
    </row>
    <row r="27" ht="15.75" customHeight="1">
      <c r="A27" s="51" t="s">
        <v>118</v>
      </c>
      <c r="B27" s="52" t="str">
        <f t="array" ref="B27">INDEX(Phi!$C8:$C10, MATCH(MAX(Phi!D8:D10), Phi!D8:D10))</f>
        <v>phi_3.5_vision_temp07</v>
      </c>
      <c r="C27" s="52" t="str">
        <f t="array" ref="C27">INDEX(Phi!$C8:$C10, MATCH(MAX(Phi!E8:E10), Phi!E8:E10))</f>
        <v>phi_3.5_vision_temp07</v>
      </c>
      <c r="D27" s="52" t="str">
        <f t="array" ref="D27">INDEX(Phi!$C8:$C10, MATCH(MAX(Phi!F8:F10), Phi!F8:F10))</f>
        <v>phi_3.5_vision_temp07</v>
      </c>
      <c r="E27" s="52" t="str">
        <f t="array" ref="E27">INDEX(Phi!$C8:$C10, MATCH(MAX(Phi!G8:G10), Phi!G8:G10))</f>
        <v>phi_3.5_vision_temp07</v>
      </c>
      <c r="F27" s="52" t="str">
        <f t="array" ref="F27">INDEX(Phi!$C8:$C10, MATCH(MAX(Phi!H8:H10), Phi!H8:H10))</f>
        <v>phi_3.5_vision_temp07</v>
      </c>
      <c r="G27" s="52" t="str">
        <f t="array" ref="G27">INDEX(Phi!$C8:$C10, MATCH(MAX(Phi!I8:I10), Phi!I8:I10))</f>
        <v>phi_3.5_vision_temp07</v>
      </c>
      <c r="H27" s="52" t="str">
        <f t="array" ref="H27">INDEX(Phi!$C8:$C10, MATCH(MAX(Phi!J8:J10), Phi!J8:J10))</f>
        <v>phi_3.5_vision_temp07</v>
      </c>
      <c r="I27" s="52" t="str">
        <f t="array" ref="I27">INDEX(Phi!$C8:$C10, MATCH(MAX(Phi!K8:K10), Phi!K8:K10))</f>
        <v>phi_3.5_vision_temp07</v>
      </c>
      <c r="J27" s="52" t="str">
        <f t="array" ref="J27">INDEX(Phi!$C8:$C10, MATCH(MAX(Phi!L8:L10), Phi!L8:L10))</f>
        <v>phi_3.5_vision_temp07</v>
      </c>
      <c r="K27" s="52" t="str">
        <f t="array" ref="K27">INDEX(Phi!$C8:$C10, MATCH(MAX(Phi!M8:M10), Phi!M8:M10))</f>
        <v>phi_3.5_vision_temp07</v>
      </c>
      <c r="L27" s="52" t="str">
        <f t="array" ref="L27">INDEX(Phi!$C8:$C10, MATCH(MAX(Phi!N8:N10), Phi!N8:N10))</f>
        <v>phi_3.5_vision_temp07</v>
      </c>
      <c r="M27" s="52" t="str">
        <f t="array" ref="M27">INDEX(Phi!$C8:$C10, MATCH(MAX(Phi!O8:O10), Phi!O8:O10))</f>
        <v>phi_3.5_vision_temp07</v>
      </c>
    </row>
    <row r="28" ht="15.75" customHeight="1">
      <c r="A28" s="51" t="s">
        <v>119</v>
      </c>
      <c r="B28" s="52" t="str">
        <f t="array" ref="B28">INDEX(Phi!$C11:$C13, MATCH(MAX(Phi!D11:D13),Phi!D11:D13))</f>
        <v>phi_3_mini_temp07</v>
      </c>
      <c r="C28" s="52" t="str">
        <f t="array" ref="C28">INDEX(Phi!$C11:$C13, MATCH(MAX(Phi!E11:E13),Phi!E11:E13))</f>
        <v>phi_3_mini_temp07</v>
      </c>
      <c r="D28" s="52" t="str">
        <f t="array" ref="D28">INDEX(Phi!$C11:$C13, MATCH(MAX(Phi!F11:F13),Phi!F11:F13))</f>
        <v>phi_3_mini_temp07</v>
      </c>
      <c r="E28" s="52" t="str">
        <f t="array" ref="E28">INDEX(Phi!$C11:$C13, MATCH(MAX(Phi!G11:G13),Phi!G11:G13))</f>
        <v>phi_3_mini_temp07</v>
      </c>
      <c r="F28" s="52" t="str">
        <f t="array" ref="F28">INDEX(Phi!$C11:$C13, MATCH(MAX(Phi!H11:H13),Phi!H11:H13))</f>
        <v>phi_3_mini_temp07</v>
      </c>
      <c r="G28" s="52" t="str">
        <f t="array" ref="G28">INDEX(Phi!$C11:$C13, MATCH(MAX(Phi!I11:I13),Phi!I11:I13))</f>
        <v>phi_3_mini_temp07</v>
      </c>
      <c r="H28" s="52" t="str">
        <f t="array" ref="H28">INDEX(Phi!$C11:$C13, MATCH(MAX(Phi!J11:J13),Phi!J11:J13))</f>
        <v>phi_3_mini_temp07</v>
      </c>
      <c r="I28" s="52" t="str">
        <f t="array" ref="I28">INDEX(Phi!$C11:$C13, MATCH(MAX(Phi!K11:K13),Phi!K11:K13))</f>
        <v>phi_3_mini_temp07</v>
      </c>
      <c r="J28" s="52" t="str">
        <f t="array" ref="J28">INDEX(Phi!$C11:$C13, MATCH(MAX(Phi!L11:L13),Phi!L11:L13))</f>
        <v>phi_3_mini_temp07</v>
      </c>
      <c r="K28" s="52" t="str">
        <f t="array" ref="K28">INDEX(Phi!$C11:$C13, MATCH(MAX(Phi!M11:M13),Phi!M11:M13))</f>
        <v>phi_3_mini_temp07</v>
      </c>
      <c r="L28" s="52" t="str">
        <f t="array" ref="L28">INDEX(Phi!$C11:$C13, MATCH(MAX(Phi!N11:N13),Phi!N11:N13))</f>
        <v>phi_3_mini_temp07</v>
      </c>
      <c r="M28" s="52" t="str">
        <f t="array" ref="M28">INDEX(Phi!$C11:$C13, MATCH(MAX(Phi!O11:O13),Phi!O11:O13))</f>
        <v>phi_3_mini_temp07</v>
      </c>
    </row>
    <row r="29" ht="15.75" customHeight="1">
      <c r="A29" s="51" t="s">
        <v>120</v>
      </c>
      <c r="B29" s="52" t="str">
        <f t="array" ref="B29">INDEX(Qwen!$C8:$C10, MATCH(MAX(Qwen!D8:D10), Qwen!D8:D10))</f>
        <v>qwen2_72b_temp07</v>
      </c>
      <c r="C29" s="52" t="str">
        <f t="array" ref="C29">INDEX(Qwen!$C8:$C10, MATCH(MAX(Qwen!E8:E10), Qwen!E8:E10))</f>
        <v>qwen2_72b_temp07</v>
      </c>
      <c r="D29" s="52" t="str">
        <f t="array" ref="D29">INDEX(Qwen!$C8:$C10, MATCH(MAX(Qwen!F8:F10), Qwen!F8:F10))</f>
        <v>qwen2_72b_temp07</v>
      </c>
      <c r="E29" s="52" t="str">
        <f t="array" ref="E29">INDEX(Qwen!$C8:$C10, MATCH(MAX(Qwen!G8:G10), Qwen!G8:G10))</f>
        <v>qwen2_72b_temp07</v>
      </c>
      <c r="F29" s="52" t="str">
        <f t="array" ref="F29">INDEX(Qwen!$C8:$C10, MATCH(MAX(Qwen!H8:H10), Qwen!H8:H10))</f>
        <v>qwen2_72b_temp07</v>
      </c>
      <c r="G29" s="52" t="str">
        <f t="array" ref="G29">INDEX(Qwen!$C8:$C10, MATCH(MAX(Qwen!I8:I10), Qwen!I8:I10))</f>
        <v>qwen2_72b_temp07</v>
      </c>
      <c r="H29" s="52" t="str">
        <f t="array" ref="H29">INDEX(Qwen!$C8:$C10, MATCH(MAX(Qwen!J8:J10), Qwen!J8:J10))</f>
        <v>qwen2_72b_temp07</v>
      </c>
      <c r="I29" s="52" t="str">
        <f t="array" ref="I29">INDEX(Qwen!$C8:$C10, MATCH(MAX(Qwen!K8:K10), Qwen!K8:K10))</f>
        <v>qwen2_72b_temp07</v>
      </c>
      <c r="J29" s="52" t="str">
        <f t="array" ref="J29">INDEX(Qwen!$C8:$C10, MATCH(MAX(Qwen!L8:L10), Qwen!L8:L10))</f>
        <v>qwen2_72b_temp07</v>
      </c>
      <c r="K29" s="52" t="str">
        <f t="array" ref="K29">INDEX(Qwen!$C8:$C10, MATCH(MAX(Qwen!M8:M10), Qwen!M8:M10))</f>
        <v>qwen2_72b_temp07</v>
      </c>
      <c r="L29" s="52" t="str">
        <f t="array" ref="L29">INDEX(Qwen!$C8:$C10, MATCH(MAX(Qwen!N8:N10), Qwen!N8:N10))</f>
        <v>qwen2_72b_temp07</v>
      </c>
      <c r="M29" s="52" t="str">
        <f t="array" ref="M29">INDEX(Qwen!$C8:$C10, MATCH(MAX(Qwen!O8:O10), Qwen!O8:O10))</f>
        <v>qwen2_72b_temp07</v>
      </c>
    </row>
    <row r="30" ht="15.75" customHeight="1">
      <c r="A30" s="51" t="s">
        <v>121</v>
      </c>
      <c r="B30" s="52" t="str">
        <f t="array" ref="B30">INDEX(Qwen!$C11:$C13, MATCH(MAX(Qwen!D11:D13),Qwen!D11:D13))</f>
        <v>qwen2_7b_temp07</v>
      </c>
      <c r="C30" s="52" t="str">
        <f t="array" ref="C30">INDEX(Qwen!$C11:$C13, MATCH(MAX(Qwen!E11:E13),Qwen!E11:E13))</f>
        <v>qwen2_7b_temp07</v>
      </c>
      <c r="D30" s="52" t="str">
        <f t="array" ref="D30">INDEX(Qwen!$C11:$C13, MATCH(MAX(Qwen!F11:F13),Qwen!F11:F13))</f>
        <v>qwen2_7b_temp07</v>
      </c>
      <c r="E30" s="52" t="str">
        <f t="array" ref="E30">INDEX(Qwen!$C11:$C13, MATCH(MAX(Qwen!G11:G13),Qwen!G11:G13))</f>
        <v>qwen2_7b_temp07</v>
      </c>
      <c r="F30" s="52" t="str">
        <f t="array" ref="F30">INDEX(Qwen!$C11:$C13, MATCH(MAX(Qwen!H11:H13),Qwen!H11:H13))</f>
        <v>qwen2_7b_temp07</v>
      </c>
      <c r="G30" s="52" t="str">
        <f t="array" ref="G30">INDEX(Qwen!$C11:$C13, MATCH(MAX(Qwen!I11:I13),Qwen!I11:I13))</f>
        <v>qwen2_7b_temp07</v>
      </c>
      <c r="H30" s="52" t="str">
        <f t="array" ref="H30">INDEX(Qwen!$C11:$C13, MATCH(MAX(Qwen!J11:J13),Qwen!J11:J13))</f>
        <v>qwen2_7b_temp07</v>
      </c>
      <c r="I30" s="52" t="str">
        <f t="array" ref="I30">INDEX(Qwen!$C11:$C13, MATCH(MAX(Qwen!K11:K13),Qwen!K11:K13))</f>
        <v>qwen2_7b_temp07</v>
      </c>
      <c r="J30" s="52" t="str">
        <f t="array" ref="J30">INDEX(Qwen!$C11:$C13, MATCH(MAX(Qwen!L11:L13),Qwen!L11:L13))</f>
        <v>qwen2_7b_temp07</v>
      </c>
      <c r="K30" s="52" t="str">
        <f t="array" ref="K30">INDEX(Qwen!$C11:$C13, MATCH(MAX(Qwen!M11:M13),Qwen!M11:M13))</f>
        <v>qwen2_7b_temp07</v>
      </c>
      <c r="L30" s="52" t="str">
        <f t="array" ref="L30">INDEX(Qwen!$C11:$C13, MATCH(MAX(Qwen!N11:N13),Qwen!N11:N13))</f>
        <v>qwen2_7b_temp07</v>
      </c>
      <c r="M30" s="52" t="str">
        <f t="array" ref="M30">INDEX(Qwen!$C11:$C13, MATCH(MAX(Qwen!O11:O13),Qwen!O11:O13))</f>
        <v>qwen2_7b_temp07</v>
      </c>
    </row>
    <row r="31" ht="15.75" customHeight="1">
      <c r="A31" s="51" t="s">
        <v>122</v>
      </c>
      <c r="B31" s="52" t="str">
        <f t="array" ref="B31">INDEX(Sabia!$C5:$C7, MATCH(MAX(Sabia!D5:D7), Sabia!D5:D7, 0))</f>
        <v>sabia3_temp07</v>
      </c>
      <c r="C31" s="52" t="str">
        <f t="array" ref="C31">INDEX(Sabia!$C5:$C7, MATCH(MAX(Sabia!E5:E7), Sabia!E5:E7, 0))</f>
        <v>sabia3_temp03</v>
      </c>
      <c r="D31" s="52" t="str">
        <f t="array" ref="D31">INDEX(Sabia!$C5:$C7, MATCH(MAX(Sabia!F5:F7), Sabia!F5:F7, 0))</f>
        <v>sabia3_temp03</v>
      </c>
      <c r="E31" s="52" t="str">
        <f t="array" ref="E31">INDEX(Sabia!$C5:$C7, MATCH(MAX(Sabia!G5:G7), Sabia!G5:G7, 0))</f>
        <v>sabia3_temp03</v>
      </c>
      <c r="F31" s="52" t="str">
        <f t="array" ref="F31">INDEX(Sabia!$C5:$C7, MATCH(MAX(Sabia!H5:H7), Sabia!H5:H7, 0))</f>
        <v>sabia3_temp05</v>
      </c>
      <c r="G31" s="52" t="str">
        <f t="array" ref="G31">INDEX(Sabia!$C5:$C7, MATCH(MAX(Sabia!I5:I7), Sabia!I5:I7, 0))</f>
        <v>sabia3_temp07</v>
      </c>
      <c r="H31" s="52" t="str">
        <f t="array" ref="H31">INDEX(Sabia!$C5:$C7, MATCH(MAX(Sabia!J5:J7), Sabia!J5:J7, 0))</f>
        <v>sabia3_temp07</v>
      </c>
      <c r="I31" s="52" t="str">
        <f t="array" ref="I31">INDEX(Sabia!$C5:$C7, MATCH(MAX(Sabia!K5:K7), Sabia!K5:K7, 0))</f>
        <v>sabia3_temp07</v>
      </c>
      <c r="J31" s="52" t="str">
        <f t="array" ref="J31">INDEX(Sabia!$C5:$C7, MATCH(MAX(Sabia!L5:L7), Sabia!L5:L7, 0))</f>
        <v>sabia3_temp03</v>
      </c>
      <c r="K31" s="52" t="str">
        <f t="array" ref="K31">INDEX(Sabia!$C5:$C7, MATCH(MAX(Sabia!M5:M7), Sabia!M5:M7, 0))</f>
        <v>sabia3_temp03</v>
      </c>
      <c r="L31" s="52" t="str">
        <f t="array" ref="L31">INDEX(Sabia!$C5:$C7, MATCH(MAX(Sabia!N5:N7), Sabia!N5:N7, 0))</f>
        <v>sabia3_temp03</v>
      </c>
      <c r="M31" s="52" t="str">
        <f t="array" ref="M31">INDEX(Sabia!$C5:$C7, MATCH(MAX(Sabia!O5:O7), Sabia!O5:O7, 0))</f>
        <v>sabia3_temp03</v>
      </c>
    </row>
    <row r="32" ht="15.75" customHeight="1"/>
    <row r="33" ht="15.75" customHeight="1">
      <c r="B33" s="13" t="s">
        <v>91</v>
      </c>
    </row>
    <row r="34" ht="15.75" customHeight="1">
      <c r="B34" s="50" t="s">
        <v>3</v>
      </c>
      <c r="C34" s="50" t="s">
        <v>4</v>
      </c>
      <c r="D34" s="50" t="s">
        <v>5</v>
      </c>
      <c r="E34" s="50" t="s">
        <v>6</v>
      </c>
      <c r="F34" s="50" t="s">
        <v>7</v>
      </c>
      <c r="G34" s="50" t="s">
        <v>8</v>
      </c>
      <c r="H34" s="50" t="s">
        <v>9</v>
      </c>
      <c r="I34" s="50" t="s">
        <v>10</v>
      </c>
      <c r="J34" s="50" t="s">
        <v>11</v>
      </c>
      <c r="K34" s="50" t="s">
        <v>12</v>
      </c>
      <c r="L34" s="50" t="s">
        <v>13</v>
      </c>
      <c r="M34" s="50" t="s">
        <v>14</v>
      </c>
    </row>
    <row r="35" ht="15.75" customHeight="1">
      <c r="A35" s="51" t="s">
        <v>110</v>
      </c>
      <c r="B35" s="52" t="str">
        <f t="array" ref="B35">INDEX(Command!$C8:$C10, MATCH(MAX(Command!D8:D10), Command!D8:D10, 0))</f>
        <v>command_r_plus_08_2024_temp05</v>
      </c>
      <c r="C35" s="52" t="str">
        <f t="array" ref="C35">INDEX(Command!$C8:$C10, MATCH(MAX(Command!E8:E10), Command!E8:E10, 0))</f>
        <v>command_r_plus_08_2024_temp07</v>
      </c>
      <c r="D35" s="52" t="str">
        <f t="array" ref="D35">INDEX(Command!$C8:$C10, MATCH(MAX(Command!F8:F10), Command!F8:F10, 0))</f>
        <v>command_r_plus_08_2024_temp07</v>
      </c>
      <c r="E35" s="52" t="str">
        <f t="array" ref="E35">INDEX(Command!$C8:$C10, MATCH(MAX(Command!G8:G10), Command!G8:G10, 0))</f>
        <v>command_r_plus_08_2024_temp07</v>
      </c>
      <c r="F35" s="52" t="str">
        <f t="array" ref="F35">INDEX(Command!$C8:$C10, MATCH(MAX(Command!H8:H10), Command!H8:H10, 0))</f>
        <v>command_r_plus_08_2024_temp05</v>
      </c>
      <c r="G35" s="52" t="str">
        <f t="array" ref="G35">INDEX(Command!$C8:$C10, MATCH(MAX(Command!I8:I10), Command!I8:I10, 0))</f>
        <v>command_r_plus_08_2024_temp05</v>
      </c>
      <c r="H35" s="52" t="str">
        <f t="array" ref="H35">INDEX(Command!$C8:$C10, MATCH(MAX(Command!J8:J10), Command!J8:J10, 0))</f>
        <v>command_r_plus_08_2024_temp05</v>
      </c>
      <c r="I35" s="52" t="str">
        <f t="array" ref="I35">INDEX(Command!$C8:$C10, MATCH(MAX(Command!K8:K10), Command!K8:K10, 0))</f>
        <v>command_r_plus_08_2024_temp07</v>
      </c>
      <c r="J35" s="52" t="str">
        <f t="array" ref="J35">INDEX(Command!$C8:$C10, MATCH(MAX(Command!L8:L10), Command!L8:L10, 0))</f>
        <v>command_r_plus_08_2024_temp03</v>
      </c>
      <c r="K35" s="52" t="str">
        <f t="array" ref="K35">INDEX(Command!$C8:$C10, MATCH(MAX(Command!M8:M10), Command!M8:M10, 0))</f>
        <v>command_r_plus_08_2024_temp03</v>
      </c>
      <c r="L35" s="52" t="str">
        <f t="array" ref="L35">INDEX(Command!$C8:$C10, MATCH(MAX(Command!N8:N10), Command!N8:N10, 0))</f>
        <v>command_r_plus_08_2024_temp03</v>
      </c>
      <c r="M35" s="52" t="str">
        <f t="array" ref="M35">INDEX(Command!$C8:$C10, MATCH(MAX(Command!O8:O10), Command!O8:O10, 0))</f>
        <v>command_r_plus_08_2024_temp03</v>
      </c>
    </row>
    <row r="36" ht="15.75" customHeight="1">
      <c r="A36" s="51" t="s">
        <v>111</v>
      </c>
      <c r="B36" s="52" t="str">
        <f t="array" ref="B36">INDEX(Gemma!$C14:$C16, MATCH(MAX(Gemma!D14:D16), Gemma!D14:D16))</f>
        <v>gemma_27b_temp07</v>
      </c>
      <c r="C36" s="52" t="str">
        <f t="array" ref="C36">INDEX(Gemma!$C14:$C16, MATCH(MAX(Gemma!E14:E16), Gemma!E14:E16))</f>
        <v>gemma_27b_temp07</v>
      </c>
      <c r="D36" s="52" t="str">
        <f t="array" ref="D36">INDEX(Gemma!$C14:$C16, MATCH(MAX(Gemma!F14:F16), Gemma!F14:F16))</f>
        <v>gemma_27b_temp07</v>
      </c>
      <c r="E36" s="52" t="str">
        <f t="array" ref="E36">INDEX(Gemma!$C14:$C16, MATCH(MAX(Gemma!G14:G16), Gemma!G14:G16))</f>
        <v>gemma_27b_temp07</v>
      </c>
      <c r="F36" s="52" t="str">
        <f t="array" ref="F36">INDEX(Gemma!$C14:$C16, MATCH(MAX(Gemma!H14:H16), Gemma!H14:H16))</f>
        <v>gemma_27b_temp07</v>
      </c>
      <c r="G36" s="52" t="str">
        <f t="array" ref="G36">INDEX(Gemma!$C14:$C16, MATCH(MAX(Gemma!I14:I16), Gemma!I14:I16))</f>
        <v>gemma_27b_temp07</v>
      </c>
      <c r="H36" s="52" t="str">
        <f t="array" ref="H36">INDEX(Gemma!$C14:$C16, MATCH(MAX(Gemma!J14:J16), Gemma!J14:J16))</f>
        <v>gemma_27b_temp07</v>
      </c>
      <c r="I36" s="52" t="str">
        <f t="array" ref="I36">INDEX(Gemma!$C14:$C16, MATCH(MAX(Gemma!K14:K16), Gemma!K14:K16))</f>
        <v>gemma_27b_temp07</v>
      </c>
      <c r="J36" s="52" t="str">
        <f t="array" ref="J36">INDEX(Gemma!$C14:$C16, MATCH(MAX(Gemma!L14:L16), Gemma!L14:L16))</f>
        <v>gemma_27b_temp07</v>
      </c>
      <c r="K36" s="52" t="str">
        <f t="array" ref="K36">INDEX(Gemma!$C14:$C16, MATCH(MAX(Gemma!M14:M16), Gemma!M14:M16))</f>
        <v>gemma_27b_temp07</v>
      </c>
      <c r="L36" s="52" t="str">
        <f t="array" ref="L36">INDEX(Gemma!$C14:$C16, MATCH(MAX(Gemma!N14:N16), Gemma!N14:N16))</f>
        <v>gemma_27b_temp07</v>
      </c>
      <c r="M36" s="52" t="str">
        <f t="array" ref="M36">INDEX(Gemma!$C14:$C16, MATCH(MAX(Gemma!O14:O16), Gemma!O14:O16))</f>
        <v>gemma_27b_temp07</v>
      </c>
    </row>
    <row r="37" ht="15.75" customHeight="1">
      <c r="A37" s="51" t="s">
        <v>112</v>
      </c>
      <c r="B37" s="52" t="str">
        <f t="array" ref="B37">INDEX(Gemma!$C17:$C19, MATCH(MAX(Gemma!D17:D19),Gemma!D17:D19))</f>
        <v>gemma_9b_temp07</v>
      </c>
      <c r="C37" s="52" t="str">
        <f t="array" ref="C37">INDEX(Gemma!$C17:$C19, MATCH(MAX(Gemma!E17:E19),Gemma!E17:E19))</f>
        <v>gemma_9b_temp07</v>
      </c>
      <c r="D37" s="52" t="str">
        <f t="array" ref="D37">INDEX(Gemma!$C17:$C19, MATCH(MAX(Gemma!F17:F19),Gemma!F17:F19))</f>
        <v>gemma_9b_temp07</v>
      </c>
      <c r="E37" s="52" t="str">
        <f t="array" ref="E37">INDEX(Gemma!$C17:$C19, MATCH(MAX(Gemma!G17:G19),Gemma!G17:G19))</f>
        <v>gemma_9b_temp07</v>
      </c>
      <c r="F37" s="52" t="str">
        <f t="array" ref="F37">INDEX(Gemma!$C17:$C19, MATCH(MAX(Gemma!H17:H19),Gemma!H17:H19))</f>
        <v>gemma_9b_temp07</v>
      </c>
      <c r="G37" s="52" t="str">
        <f t="array" ref="G37">INDEX(Gemma!$C17:$C19, MATCH(MAX(Gemma!I17:I19),Gemma!I17:I19))</f>
        <v>gemma_9b_temp07</v>
      </c>
      <c r="H37" s="52" t="str">
        <f t="array" ref="H37">INDEX(Gemma!$C17:$C19, MATCH(MAX(Gemma!J17:J19),Gemma!J17:J19))</f>
        <v>gemma_9b_temp07</v>
      </c>
      <c r="I37" s="52" t="str">
        <f t="array" ref="I37">INDEX(Gemma!$C17:$C19, MATCH(MAX(Gemma!K17:K19),Gemma!K17:K19))</f>
        <v>gemma_9b_temp07</v>
      </c>
      <c r="J37" s="52" t="str">
        <f t="array" ref="J37">INDEX(Gemma!$C17:$C19, MATCH(MAX(Gemma!L17:L19),Gemma!L17:L19))</f>
        <v>gemma_9b_temp07</v>
      </c>
      <c r="K37" s="52" t="str">
        <f t="array" ref="K37">INDEX(Gemma!$C17:$C19, MATCH(MAX(Gemma!M17:M19),Gemma!M17:M19))</f>
        <v>gemma_9b_temp07</v>
      </c>
      <c r="L37" s="52" t="str">
        <f t="array" ref="L37">INDEX(Gemma!$C17:$C19, MATCH(MAX(Gemma!N17:N19),Gemma!N17:N19))</f>
        <v>gemma_9b_temp07</v>
      </c>
      <c r="M37" s="52" t="str">
        <f t="array" ref="M37">INDEX(Gemma!$C17:$C19, MATCH(MAX(Gemma!O17:O19),Gemma!O17:O19))</f>
        <v>gemma_9b_temp07</v>
      </c>
    </row>
    <row r="38" ht="15.75" customHeight="1">
      <c r="A38" s="51" t="s">
        <v>113</v>
      </c>
      <c r="B38" s="52" t="str">
        <f t="array" ref="B38">INDEX(GPT!$C:$C, MATCH(MAX(GPT!D8:D10),GPT!D8:D10))</f>
        <v>gpt4o_temp05</v>
      </c>
      <c r="C38" s="52" t="str">
        <f t="array" ref="C38">INDEX(GPT!$C:$C, MATCH(MAX(GPT!E8:E10),GPT!E8:E10))</f>
        <v>gpt4o_temp05</v>
      </c>
      <c r="D38" s="52" t="str">
        <f t="array" ref="D38">INDEX(GPT!$C:$C, MATCH(MAX(GPT!F8:F10),GPT!F8:F10))</f>
        <v>gpt4o_temp05</v>
      </c>
      <c r="E38" s="52" t="str">
        <f t="array" ref="E38">INDEX(GPT!$C:$C, MATCH(MAX(GPT!G8:G10),GPT!G8:G10))</f>
        <v>gpt4o_temp05</v>
      </c>
      <c r="F38" s="52" t="str">
        <f t="array" ref="F38">INDEX(GPT!$C:$C, MATCH(MAX(GPT!H8:H10),GPT!H8:H10))</f>
        <v>gpt4o_temp05</v>
      </c>
      <c r="G38" s="52" t="str">
        <f t="array" ref="G38">INDEX(GPT!$C:$C, MATCH(MAX(GPT!I8:I10),GPT!I8:I10))</f>
        <v>gpt4o_temp05</v>
      </c>
      <c r="H38" s="52" t="str">
        <f t="array" ref="H38">INDEX(GPT!$C:$C, MATCH(MAX(GPT!J8:J10),GPT!J8:J10))</f>
        <v>gpt4o_temp05</v>
      </c>
      <c r="I38" s="52" t="str">
        <f t="array" ref="I38">INDEX(GPT!$C:$C, MATCH(MAX(GPT!K8:K10),GPT!K8:K10))</f>
        <v>gpt4o_temp05</v>
      </c>
      <c r="J38" s="52" t="str">
        <f t="array" ref="J38">INDEX(GPT!$C:$C, MATCH(MAX(GPT!L8:L10),GPT!L8:L10))</f>
        <v>gpt4o_temp05</v>
      </c>
      <c r="K38" s="52" t="str">
        <f t="array" ref="K38">INDEX(GPT!$C:$C, MATCH(MAX(GPT!M8:M10),GPT!M8:M10))</f>
        <v>gpt4o_temp05</v>
      </c>
      <c r="L38" s="52" t="str">
        <f t="array" ref="L38">INDEX(GPT!$C:$C, MATCH(MAX(GPT!N8:N10),GPT!N8:N10))</f>
        <v>gpt4o_temp05</v>
      </c>
      <c r="M38" s="52" t="str">
        <f t="array" ref="M38">INDEX(GPT!$C:$C, MATCH(MAX(GPT!O8:O10),GPT!O8:O10))</f>
        <v>gpt4o_temp05</v>
      </c>
    </row>
    <row r="39" ht="15.75" customHeight="1">
      <c r="A39" s="51" t="s">
        <v>114</v>
      </c>
      <c r="B39" s="52" t="str">
        <f t="array" ref="B39">INDEX(Llama!$C14:$C16, MATCH(MAX(Llama!D14:D16), Llama!D14:D16))</f>
        <v>llama_405b_temp07</v>
      </c>
      <c r="C39" s="52" t="str">
        <f t="array" ref="C39">INDEX(Llama!$C14:$C16, MATCH(MAX(Llama!E14:E16), Llama!E14:E16))</f>
        <v>llama_405b_temp07</v>
      </c>
      <c r="D39" s="52" t="str">
        <f t="array" ref="D39">INDEX(Llama!$C14:$C16, MATCH(MAX(Llama!F14:F16), Llama!F14:F16))</f>
        <v>llama_405b_temp07</v>
      </c>
      <c r="E39" s="52" t="str">
        <f t="array" ref="E39">INDEX(Llama!$C14:$C16, MATCH(MAX(Llama!G14:G16), Llama!G14:G16))</f>
        <v>llama_405b_temp07</v>
      </c>
      <c r="F39" s="52" t="str">
        <f t="array" ref="F39">INDEX(Llama!$C14:$C16, MATCH(MAX(Llama!H14:H16), Llama!H14:H16))</f>
        <v>llama_405b_temp07</v>
      </c>
      <c r="G39" s="52" t="str">
        <f t="array" ref="G39">INDEX(Llama!$C14:$C16, MATCH(MAX(Llama!I14:I16), Llama!I14:I16))</f>
        <v>llama_405b_temp07</v>
      </c>
      <c r="H39" s="52" t="str">
        <f t="array" ref="H39">INDEX(Llama!$C14:$C16, MATCH(MAX(Llama!J14:J16), Llama!J14:J16))</f>
        <v>llama_405b_temp07</v>
      </c>
      <c r="I39" s="52" t="str">
        <f t="array" ref="I39">INDEX(Llama!$C14:$C16, MATCH(MAX(Llama!K14:K16), Llama!K14:K16))</f>
        <v>llama_405b_temp07</v>
      </c>
      <c r="J39" s="52" t="str">
        <f t="array" ref="J39">INDEX(Llama!$C14:$C16, MATCH(MAX(Llama!L14:L16), Llama!L14:L16))</f>
        <v>llama_405b_temp07</v>
      </c>
      <c r="K39" s="52" t="str">
        <f t="array" ref="K39">INDEX(Llama!$C14:$C16, MATCH(MAX(Llama!M14:M16), Llama!M14:M16))</f>
        <v>llama_405b_temp07</v>
      </c>
      <c r="L39" s="52" t="str">
        <f t="array" ref="L39">INDEX(Llama!$C14:$C16, MATCH(MAX(Llama!N14:N16), Llama!N14:N16))</f>
        <v>llama_405b_temp07</v>
      </c>
      <c r="M39" s="52" t="str">
        <f t="array" ref="M39">INDEX(Llama!$C14:$C16, MATCH(MAX(Llama!O14:O16), Llama!O14:O16))</f>
        <v>llama_405b_temp07</v>
      </c>
    </row>
    <row r="40" ht="15.75" customHeight="1">
      <c r="A40" s="51" t="s">
        <v>115</v>
      </c>
      <c r="B40" s="52" t="str">
        <f t="array" ref="B40">INDEX(Llama!$C17:$C19, MATCH(MAX(Llama!D17:D19),Llama!D17:D19))</f>
        <v>llama_8b_temp07</v>
      </c>
      <c r="C40" s="52" t="str">
        <f t="array" ref="C40">INDEX(Llama!$C17:$C19, MATCH(MAX(Llama!E17:E19),Llama!E17:E19))</f>
        <v>llama_8b_temp07</v>
      </c>
      <c r="D40" s="52" t="str">
        <f t="array" ref="D40">INDEX(Llama!$C17:$C19, MATCH(MAX(Llama!F17:F19),Llama!F17:F19))</f>
        <v>llama_8b_temp07</v>
      </c>
      <c r="E40" s="52" t="str">
        <f t="array" ref="E40">INDEX(Llama!$C17:$C19, MATCH(MAX(Llama!G17:G19),Llama!G17:G19))</f>
        <v>llama_8b_temp07</v>
      </c>
      <c r="F40" s="52" t="str">
        <f t="array" ref="F40">INDEX(Llama!$C17:$C19, MATCH(MAX(Llama!H17:H19),Llama!H17:H19))</f>
        <v>llama_8b_temp07</v>
      </c>
      <c r="G40" s="52" t="str">
        <f t="array" ref="G40">INDEX(Llama!$C17:$C19, MATCH(MAX(Llama!I17:I19),Llama!I17:I19))</f>
        <v>llama_8b_temp07</v>
      </c>
      <c r="H40" s="52" t="str">
        <f t="array" ref="H40">INDEX(Llama!$C17:$C19, MATCH(MAX(Llama!J17:J19),Llama!J17:J19))</f>
        <v>llama_8b_temp07</v>
      </c>
      <c r="I40" s="52" t="str">
        <f t="array" ref="I40">INDEX(Llama!$C17:$C19, MATCH(MAX(Llama!K17:K19),Llama!K17:K19))</f>
        <v>llama_8b_temp07</v>
      </c>
      <c r="J40" s="52" t="str">
        <f t="array" ref="J40">INDEX(Llama!$C17:$C19, MATCH(MAX(Llama!L17:L19),Llama!L17:L19))</f>
        <v>llama_8b_temp07</v>
      </c>
      <c r="K40" s="52" t="str">
        <f t="array" ref="K40">INDEX(Llama!$C17:$C19, MATCH(MAX(Llama!M17:M19),Llama!M17:M19))</f>
        <v>llama_8b_temp07</v>
      </c>
      <c r="L40" s="52" t="str">
        <f t="array" ref="L40">INDEX(Llama!$C17:$C19, MATCH(MAX(Llama!N17:N19),Llama!N17:N19))</f>
        <v>llama_8b_temp07</v>
      </c>
      <c r="M40" s="52" t="str">
        <f t="array" ref="M40">INDEX(Llama!$C17:$C19, MATCH(MAX(Llama!O17:O19),Llama!O17:O19))</f>
        <v>llama_8b_temp07</v>
      </c>
    </row>
    <row r="41" ht="15.75" customHeight="1">
      <c r="A41" s="51" t="s">
        <v>116</v>
      </c>
      <c r="B41" s="52" t="str">
        <f t="array" ref="B41">INDEX(Mixtral!$C14:$C16, MATCH(MAX(Mixtral!D14:D16), Mixtral!D14:D16))</f>
        <v>mixtral_8x22b_temp07</v>
      </c>
      <c r="C41" s="52" t="str">
        <f t="array" ref="C41">INDEX(Mixtral!$C14:$C16, MATCH(MAX(Mixtral!E14:E16), Mixtral!E14:E16))</f>
        <v>mixtral_8x22b_temp07</v>
      </c>
      <c r="D41" s="52" t="str">
        <f t="array" ref="D41">INDEX(Mixtral!$C14:$C16, MATCH(MAX(Mixtral!F14:F16), Mixtral!F14:F16))</f>
        <v>mixtral_8x22b_temp07</v>
      </c>
      <c r="E41" s="52" t="str">
        <f t="array" ref="E41">INDEX(Mixtral!$C14:$C16, MATCH(MAX(Mixtral!G14:G16), Mixtral!G14:G16))</f>
        <v>mixtral_8x22b_temp07</v>
      </c>
      <c r="F41" s="52" t="str">
        <f t="array" ref="F41">INDEX(Mixtral!$C14:$C16, MATCH(MAX(Mixtral!H14:H16), Mixtral!H14:H16))</f>
        <v>mixtral_8x22b_temp07</v>
      </c>
      <c r="G41" s="52" t="str">
        <f t="array" ref="G41">INDEX(Mixtral!$C14:$C16, MATCH(MAX(Mixtral!I14:I16), Mixtral!I14:I16))</f>
        <v>mixtral_8x22b_temp07</v>
      </c>
      <c r="H41" s="52" t="str">
        <f t="array" ref="H41">INDEX(Mixtral!$C14:$C16, MATCH(MAX(Mixtral!J14:J16), Mixtral!J14:J16))</f>
        <v>mixtral_8x22b_temp07</v>
      </c>
      <c r="I41" s="52" t="str">
        <f t="array" ref="I41">INDEX(Mixtral!$C14:$C16, MATCH(MAX(Mixtral!K14:K16), Mixtral!K14:K16))</f>
        <v>mixtral_8x22b_temp07</v>
      </c>
      <c r="J41" s="52" t="str">
        <f t="array" ref="J41">INDEX(Mixtral!$C14:$C16, MATCH(MAX(Mixtral!L14:L16), Mixtral!L14:L16))</f>
        <v>mixtral_8x22b_temp07</v>
      </c>
      <c r="K41" s="52" t="str">
        <f t="array" ref="K41">INDEX(Mixtral!$C14:$C16, MATCH(MAX(Mixtral!M14:M16), Mixtral!M14:M16))</f>
        <v>mixtral_8x22b_temp07</v>
      </c>
      <c r="L41" s="52" t="str">
        <f t="array" ref="L41">INDEX(Mixtral!$C14:$C16, MATCH(MAX(Mixtral!N14:N16), Mixtral!N14:N16))</f>
        <v>mixtral_8x22b_temp07</v>
      </c>
      <c r="M41" s="52" t="str">
        <f t="array" ref="M41">INDEX(Mixtral!$C14:$C16, MATCH(MAX(Mixtral!O14:O16), Mixtral!O14:O16))</f>
        <v>mixtral_8x22b_temp07</v>
      </c>
    </row>
    <row r="42" ht="15.75" customHeight="1">
      <c r="A42" s="51" t="s">
        <v>117</v>
      </c>
      <c r="B42" s="52" t="str">
        <f t="array" ref="B42">INDEX(Mixtral!$C17:$C19, MATCH(MAX(Mixtral!D17:D19),Mixtral!D17:D19))</f>
        <v>mixtral_8x7b_temp07</v>
      </c>
      <c r="C42" s="52" t="str">
        <f t="array" ref="C42">INDEX(Mixtral!$C17:$C19, MATCH(MAX(Mixtral!E17:E19),Mixtral!E17:E19))</f>
        <v>mixtral_8x7b_temp07</v>
      </c>
      <c r="D42" s="52" t="str">
        <f t="array" ref="D42">INDEX(Mixtral!$C17:$C19, MATCH(MAX(Mixtral!F17:F19),Mixtral!F17:F19))</f>
        <v>mixtral_8x7b_temp07</v>
      </c>
      <c r="E42" s="52" t="str">
        <f t="array" ref="E42">INDEX(Mixtral!$C17:$C19, MATCH(MAX(Mixtral!G17:G19),Mixtral!G17:G19))</f>
        <v>mixtral_8x7b_temp07</v>
      </c>
      <c r="F42" s="52" t="str">
        <f t="array" ref="F42">INDEX(Mixtral!$C17:$C19, MATCH(MAX(Mixtral!H17:H19),Mixtral!H17:H19))</f>
        <v>mixtral_8x7b_temp07</v>
      </c>
      <c r="G42" s="52" t="str">
        <f t="array" ref="G42">INDEX(Mixtral!$C17:$C19, MATCH(MAX(Mixtral!I17:I19),Mixtral!I17:I19))</f>
        <v>mixtral_8x7b_temp07</v>
      </c>
      <c r="H42" s="52" t="str">
        <f t="array" ref="H42">INDEX(Mixtral!$C17:$C19, MATCH(MAX(Mixtral!J17:J19),Mixtral!J17:J19))</f>
        <v>mixtral_8x7b_temp07</v>
      </c>
      <c r="I42" s="52" t="str">
        <f t="array" ref="I42">INDEX(Mixtral!$C17:$C19, MATCH(MAX(Mixtral!K17:K19),Mixtral!K17:K19))</f>
        <v>mixtral_8x7b_temp07</v>
      </c>
      <c r="J42" s="52" t="str">
        <f t="array" ref="J42">INDEX(Mixtral!$C17:$C19, MATCH(MAX(Mixtral!L17:L19),Mixtral!L17:L19))</f>
        <v>mixtral_8x7b_temp07</v>
      </c>
      <c r="K42" s="52" t="str">
        <f t="array" ref="K42">INDEX(Mixtral!$C17:$C19, MATCH(MAX(Mixtral!M17:M19),Mixtral!M17:M19))</f>
        <v>mixtral_8x7b_temp07</v>
      </c>
      <c r="L42" s="52" t="str">
        <f t="array" ref="L42">INDEX(Mixtral!$C17:$C19, MATCH(MAX(Mixtral!N17:N19),Mixtral!N17:N19))</f>
        <v>mixtral_8x7b_temp07</v>
      </c>
      <c r="M42" s="52" t="str">
        <f t="array" ref="M42">INDEX(Mixtral!$C17:$C19, MATCH(MAX(Mixtral!O17:O19),Mixtral!O17:O19))</f>
        <v>mixtral_8x7b_temp07</v>
      </c>
    </row>
    <row r="43" ht="15.75" customHeight="1">
      <c r="A43" s="51" t="s">
        <v>118</v>
      </c>
      <c r="B43" s="52" t="str">
        <f t="array" ref="B43">INDEX(Phi!$C14:$C16, MATCH(MAX(Phi!D14:D16), Phi!D14:D16))</f>
        <v>phi_3.5_vision_temp07</v>
      </c>
      <c r="C43" s="52" t="str">
        <f t="array" ref="C43">INDEX(Phi!$C14:$C16, MATCH(MAX(Phi!E14:E16), Phi!E14:E16))</f>
        <v>phi_3.5_vision_temp07</v>
      </c>
      <c r="D43" s="52" t="str">
        <f t="array" ref="D43">INDEX(Phi!$C14:$C16, MATCH(MAX(Phi!F14:F16), Phi!F14:F16))</f>
        <v>phi_3.5_vision_temp07</v>
      </c>
      <c r="E43" s="52" t="str">
        <f t="array" ref="E43">INDEX(Phi!$C14:$C16, MATCH(MAX(Phi!G14:G16), Phi!G14:G16))</f>
        <v>phi_3.5_vision_temp07</v>
      </c>
      <c r="F43" s="52" t="str">
        <f t="array" ref="F43">INDEX(Phi!$C14:$C16, MATCH(MAX(Phi!H14:H16), Phi!H14:H16))</f>
        <v>phi_3.5_vision_temp07</v>
      </c>
      <c r="G43" s="52" t="str">
        <f t="array" ref="G43">INDEX(Phi!$C14:$C16, MATCH(MAX(Phi!I14:I16), Phi!I14:I16))</f>
        <v>phi_3.5_vision_temp07</v>
      </c>
      <c r="H43" s="52" t="str">
        <f t="array" ref="H43">INDEX(Phi!$C14:$C16, MATCH(MAX(Phi!J14:J16), Phi!J14:J16))</f>
        <v>phi_3.5_vision_temp07</v>
      </c>
      <c r="I43" s="52" t="str">
        <f t="array" ref="I43">INDEX(Phi!$C14:$C16, MATCH(MAX(Phi!K14:K16), Phi!K14:K16))</f>
        <v>phi_3.5_vision_temp07</v>
      </c>
      <c r="J43" s="52" t="str">
        <f t="array" ref="J43">INDEX(Phi!$C14:$C16, MATCH(MAX(Phi!L14:L16), Phi!L14:L16))</f>
        <v>phi_3.5_vision_temp07</v>
      </c>
      <c r="K43" s="52" t="str">
        <f t="array" ref="K43">INDEX(Phi!$C14:$C16, MATCH(MAX(Phi!M14:M16), Phi!M14:M16))</f>
        <v>phi_3.5_vision_temp07</v>
      </c>
      <c r="L43" s="52" t="str">
        <f t="array" ref="L43">INDEX(Phi!$C14:$C16, MATCH(MAX(Phi!N14:N16), Phi!N14:N16))</f>
        <v>phi_3.5_vision_temp07</v>
      </c>
      <c r="M43" s="52" t="str">
        <f t="array" ref="M43">INDEX(Phi!$C14:$C16, MATCH(MAX(Phi!O14:O16), Phi!O14:O16))</f>
        <v>phi_3.5_vision_temp07</v>
      </c>
    </row>
    <row r="44" ht="15.75" customHeight="1">
      <c r="A44" s="51" t="s">
        <v>119</v>
      </c>
      <c r="B44" s="52" t="str">
        <f t="array" ref="B44">INDEX(Phi!$C17:$C19, MATCH(MAX(Phi!D17:D19),Phi!D17:D19))</f>
        <v>phi_3_mini_temp07</v>
      </c>
      <c r="C44" s="52" t="str">
        <f t="array" ref="C44">INDEX(Phi!$C17:$C19, MATCH(MAX(Phi!E17:E19),Phi!E17:E19))</f>
        <v>phi_3_mini_temp07</v>
      </c>
      <c r="D44" s="52" t="str">
        <f t="array" ref="D44">INDEX(Phi!$C17:$C19, MATCH(MAX(Phi!F17:F19),Phi!F17:F19))</f>
        <v>phi_3_mini_temp07</v>
      </c>
      <c r="E44" s="52" t="str">
        <f t="array" ref="E44">INDEX(Phi!$C17:$C19, MATCH(MAX(Phi!G17:G19),Phi!G17:G19))</f>
        <v>phi_3_mini_temp07</v>
      </c>
      <c r="F44" s="52" t="str">
        <f t="array" ref="F44">INDEX(Phi!$C17:$C19, MATCH(MAX(Phi!H17:H19),Phi!H17:H19))</f>
        <v>phi_3_mini_temp07</v>
      </c>
      <c r="G44" s="52" t="str">
        <f t="array" ref="G44">INDEX(Phi!$C17:$C19, MATCH(MAX(Phi!I17:I19),Phi!I17:I19))</f>
        <v>phi_3_mini_temp07</v>
      </c>
      <c r="H44" s="52" t="str">
        <f t="array" ref="H44">INDEX(Phi!$C17:$C19, MATCH(MAX(Phi!J17:J19),Phi!J17:J19))</f>
        <v>phi_3_mini_temp07</v>
      </c>
      <c r="I44" s="52" t="str">
        <f t="array" ref="I44">INDEX(Phi!$C17:$C19, MATCH(MAX(Phi!K17:K19),Phi!K17:K19))</f>
        <v>phi_3_mini_temp07</v>
      </c>
      <c r="J44" s="52" t="str">
        <f t="array" ref="J44">INDEX(Phi!$C17:$C19, MATCH(MAX(Phi!L17:L19),Phi!L17:L19))</f>
        <v>phi_3_mini_temp07</v>
      </c>
      <c r="K44" s="52" t="str">
        <f t="array" ref="K44">INDEX(Phi!$C17:$C19, MATCH(MAX(Phi!M17:M19),Phi!M17:M19))</f>
        <v>phi_3_mini_temp07</v>
      </c>
      <c r="L44" s="52" t="str">
        <f t="array" ref="L44">INDEX(Phi!$C17:$C19, MATCH(MAX(Phi!N17:N19),Phi!N17:N19))</f>
        <v>phi_3_mini_temp07</v>
      </c>
      <c r="M44" s="52" t="str">
        <f t="array" ref="M44">INDEX(Phi!$C17:$C19, MATCH(MAX(Phi!O17:O19),Phi!O17:O19))</f>
        <v>phi_3_mini_temp07</v>
      </c>
    </row>
    <row r="45" ht="15.75" customHeight="1">
      <c r="A45" s="51" t="s">
        <v>120</v>
      </c>
      <c r="B45" s="52" t="str">
        <f t="array" ref="B45">INDEX(Qwen!$C14:$C16, MATCH(MAX(Qwen!D14:D16), Qwen!D14:D16))</f>
        <v>qwen2_72b_temp07</v>
      </c>
      <c r="C45" s="52" t="str">
        <f t="array" ref="C45">INDEX(Qwen!$C14:$C16, MATCH(MAX(Qwen!E14:E16), Qwen!E14:E16))</f>
        <v>qwen2_72b_temp07</v>
      </c>
      <c r="D45" s="52" t="str">
        <f t="array" ref="D45">INDEX(Qwen!$C14:$C16, MATCH(MAX(Qwen!F14:F16), Qwen!F14:F16))</f>
        <v>qwen2_72b_temp07</v>
      </c>
      <c r="E45" s="52" t="str">
        <f t="array" ref="E45">INDEX(Qwen!$C14:$C16, MATCH(MAX(Qwen!G14:G16), Qwen!G14:G16))</f>
        <v>qwen2_72b_temp07</v>
      </c>
      <c r="F45" s="52" t="str">
        <f t="array" ref="F45">INDEX(Qwen!$C14:$C16, MATCH(MAX(Qwen!H14:H16), Qwen!H14:H16))</f>
        <v>qwen2_72b_temp07</v>
      </c>
      <c r="G45" s="52" t="str">
        <f t="array" ref="G45">INDEX(Qwen!$C14:$C16, MATCH(MAX(Qwen!I14:I16), Qwen!I14:I16))</f>
        <v>qwen2_72b_temp07</v>
      </c>
      <c r="H45" s="52" t="str">
        <f t="array" ref="H45">INDEX(Qwen!$C14:$C16, MATCH(MAX(Qwen!J14:J16), Qwen!J14:J16))</f>
        <v>qwen2_72b_temp07</v>
      </c>
      <c r="I45" s="52" t="str">
        <f t="array" ref="I45">INDEX(Qwen!$C14:$C16, MATCH(MAX(Qwen!K14:K16), Qwen!K14:K16))</f>
        <v>qwen2_72b_temp07</v>
      </c>
      <c r="J45" s="52" t="str">
        <f t="array" ref="J45">INDEX(Qwen!$C14:$C16, MATCH(MAX(Qwen!L14:L16), Qwen!L14:L16))</f>
        <v>qwen2_72b_temp07</v>
      </c>
      <c r="K45" s="52" t="str">
        <f t="array" ref="K45">INDEX(Qwen!$C14:$C16, MATCH(MAX(Qwen!M14:M16), Qwen!M14:M16))</f>
        <v>qwen2_72b_temp07</v>
      </c>
      <c r="L45" s="52" t="str">
        <f t="array" ref="L45">INDEX(Qwen!$C14:$C16, MATCH(MAX(Qwen!N14:N16), Qwen!N14:N16))</f>
        <v>qwen2_72b_temp07</v>
      </c>
      <c r="M45" s="52" t="str">
        <f t="array" ref="M45">INDEX(Qwen!$C14:$C16, MATCH(MAX(Qwen!O14:O16), Qwen!O14:O16))</f>
        <v>qwen2_72b_temp07</v>
      </c>
    </row>
    <row r="46" ht="15.75" customHeight="1">
      <c r="A46" s="51" t="s">
        <v>121</v>
      </c>
      <c r="B46" s="52" t="str">
        <f t="array" ref="B46">INDEX(Qwen!$C17:$C19, MATCH(MAX(Qwen!D17:D19),Qwen!D17:D19))</f>
        <v>qwen2_7b_temp07</v>
      </c>
      <c r="C46" s="52" t="str">
        <f t="array" ref="C46">INDEX(Qwen!$C17:$C19, MATCH(MAX(Qwen!E17:E19),Qwen!E17:E19))</f>
        <v>qwen2_7b_temp07</v>
      </c>
      <c r="D46" s="52" t="str">
        <f t="array" ref="D46">INDEX(Qwen!$C17:$C19, MATCH(MAX(Qwen!F17:F19),Qwen!F17:F19))</f>
        <v>qwen2_7b_temp07</v>
      </c>
      <c r="E46" s="52" t="str">
        <f t="array" ref="E46">INDEX(Qwen!$C17:$C19, MATCH(MAX(Qwen!G17:G19),Qwen!G17:G19))</f>
        <v>qwen2_7b_temp07</v>
      </c>
      <c r="F46" s="52" t="str">
        <f t="array" ref="F46">INDEX(Qwen!$C17:$C19, MATCH(MAX(Qwen!H17:H19),Qwen!H17:H19))</f>
        <v>qwen2_7b_temp07</v>
      </c>
      <c r="G46" s="52" t="str">
        <f t="array" ref="G46">INDEX(Qwen!$C17:$C19, MATCH(MAX(Qwen!I17:I19),Qwen!I17:I19))</f>
        <v>qwen2_7b_temp07</v>
      </c>
      <c r="H46" s="52" t="str">
        <f t="array" ref="H46">INDEX(Qwen!$C17:$C19, MATCH(MAX(Qwen!J17:J19),Qwen!J17:J19))</f>
        <v>qwen2_7b_temp07</v>
      </c>
      <c r="I46" s="52" t="str">
        <f t="array" ref="I46">INDEX(Qwen!$C17:$C19, MATCH(MAX(Qwen!K17:K19),Qwen!K17:K19))</f>
        <v>qwen2_7b_temp07</v>
      </c>
      <c r="J46" s="52" t="str">
        <f t="array" ref="J46">INDEX(Qwen!$C17:$C19, MATCH(MAX(Qwen!L17:L19),Qwen!L17:L19))</f>
        <v>qwen2_7b_temp07</v>
      </c>
      <c r="K46" s="52" t="str">
        <f t="array" ref="K46">INDEX(Qwen!$C17:$C19, MATCH(MAX(Qwen!M17:M19),Qwen!M17:M19))</f>
        <v>qwen2_7b_temp07</v>
      </c>
      <c r="L46" s="52" t="str">
        <f t="array" ref="L46">INDEX(Qwen!$C17:$C19, MATCH(MAX(Qwen!N17:N19),Qwen!N17:N19))</f>
        <v>qwen2_7b_temp07</v>
      </c>
      <c r="M46" s="52" t="str">
        <f t="array" ref="M46">INDEX(Qwen!$C17:$C19, MATCH(MAX(Qwen!O17:O19),Qwen!O17:O19))</f>
        <v>qwen2_7b_temp07</v>
      </c>
    </row>
    <row r="47" ht="15.75" customHeight="1">
      <c r="A47" s="51" t="s">
        <v>122</v>
      </c>
      <c r="B47" s="52" t="str">
        <f t="array" ref="B47">INDEX(Sabia!$C8:$C10, MATCH(MAX(Sabia!D8:D10), Sabia!D8:D10, 0))</f>
        <v>sabia3_temp05</v>
      </c>
      <c r="C47" s="52" t="str">
        <f t="array" ref="C47">INDEX(Sabia!$C8:$C10, MATCH(MAX(Sabia!E8:E10), Sabia!E8:E10, 0))</f>
        <v>sabia3_temp03</v>
      </c>
      <c r="D47" s="52" t="str">
        <f t="array" ref="D47">INDEX(Sabia!$C8:$C10, MATCH(MAX(Sabia!F8:F10), Sabia!F8:F10, 0))</f>
        <v>sabia3_temp03</v>
      </c>
      <c r="E47" s="52" t="str">
        <f t="array" ref="E47">INDEX(Sabia!$C8:$C10, MATCH(MAX(Sabia!G8:G10), Sabia!G8:G10, 0))</f>
        <v>sabia3_temp03</v>
      </c>
      <c r="F47" s="52" t="str">
        <f t="array" ref="F47">INDEX(Sabia!$C8:$C10, MATCH(MAX(Sabia!H8:H10), Sabia!H8:H10, 0))</f>
        <v>sabia3_temp05</v>
      </c>
      <c r="G47" s="52" t="str">
        <f t="array" ref="G47">INDEX(Sabia!$C8:$C10, MATCH(MAX(Sabia!I8:I10), Sabia!I8:I10, 0))</f>
        <v>sabia3_temp07</v>
      </c>
      <c r="H47" s="52" t="str">
        <f t="array" ref="H47">INDEX(Sabia!$C8:$C10, MATCH(MAX(Sabia!J8:J10), Sabia!J8:J10, 0))</f>
        <v>sabia3_temp07</v>
      </c>
      <c r="I47" s="52" t="str">
        <f t="array" ref="I47">INDEX(Sabia!$C8:$C10, MATCH(MAX(Sabia!K8:K10), Sabia!K8:K10, 0))</f>
        <v>sabia3_temp05</v>
      </c>
      <c r="J47" s="52" t="str">
        <f t="array" ref="J47">INDEX(Sabia!$C8:$C10, MATCH(MAX(Sabia!L8:L10), Sabia!L8:L10, 0))</f>
        <v>sabia3_temp03</v>
      </c>
      <c r="K47" s="52" t="str">
        <f t="array" ref="K47">INDEX(Sabia!$C8:$C10, MATCH(MAX(Sabia!M8:M10), Sabia!M8:M10, 0))</f>
        <v>sabia3_temp03</v>
      </c>
      <c r="L47" s="52" t="str">
        <f t="array" ref="L47">INDEX(Sabia!$C8:$C10, MATCH(MAX(Sabia!N8:N10), Sabia!N8:N10, 0))</f>
        <v>sabia3_temp03</v>
      </c>
      <c r="M47" s="52" t="str">
        <f t="array" ref="M47">INDEX(Sabia!$C8:$C10, MATCH(MAX(Sabia!O8:O10), Sabia!O8:O10, 0))</f>
        <v>sabia3_temp03</v>
      </c>
    </row>
    <row r="48" ht="15.75" customHeight="1"/>
    <row r="49" ht="15.75" customHeight="1">
      <c r="B49" s="13" t="s">
        <v>123</v>
      </c>
    </row>
    <row r="50" ht="15.75" customHeight="1">
      <c r="B50" s="50" t="s">
        <v>3</v>
      </c>
      <c r="C50" s="50" t="s">
        <v>4</v>
      </c>
      <c r="D50" s="50" t="s">
        <v>5</v>
      </c>
      <c r="E50" s="50" t="s">
        <v>6</v>
      </c>
      <c r="F50" s="50" t="s">
        <v>7</v>
      </c>
      <c r="G50" s="50" t="s">
        <v>8</v>
      </c>
      <c r="H50" s="50" t="s">
        <v>9</v>
      </c>
      <c r="I50" s="50" t="s">
        <v>10</v>
      </c>
      <c r="J50" s="50" t="s">
        <v>11</v>
      </c>
      <c r="K50" s="50" t="s">
        <v>12</v>
      </c>
      <c r="L50" s="50" t="s">
        <v>13</v>
      </c>
      <c r="M50" s="50" t="s">
        <v>14</v>
      </c>
    </row>
    <row r="51" ht="15.75" customHeight="1">
      <c r="A51" s="51" t="s">
        <v>110</v>
      </c>
      <c r="B51" s="52" t="str">
        <f t="array" ref="B51">INDEX(Command!$C11:$C13, MATCH(MAX(Command!D11:D13), Command!D11:D13, 0))</f>
        <v>command_r_plus_08_2024_temp05</v>
      </c>
      <c r="C51" s="52" t="str">
        <f t="array" ref="C51">INDEX(Command!$C11:$C13, MATCH(MAX(Command!E11:E13), Command!E11:E13, 0))</f>
        <v>command_r_plus_08_2024_temp07</v>
      </c>
      <c r="D51" s="52" t="str">
        <f t="array" ref="D51">INDEX(Command!$C11:$C13, MATCH(MAX(Command!F11:F13), Command!F11:F13, 0))</f>
        <v>command_r_plus_08_2024_temp05</v>
      </c>
      <c r="E51" s="52" t="str">
        <f t="array" ref="E51">INDEX(Command!$C11:$C13, MATCH(MAX(Command!G11:G13), Command!G11:G13, 0))</f>
        <v>command_r_plus_08_2024_temp07</v>
      </c>
      <c r="F51" s="52" t="str">
        <f t="array" ref="F51">INDEX(Command!$C11:$C13, MATCH(MAX(Command!H11:H13), Command!H11:H13, 0))</f>
        <v>command_r_plus_08_2024_temp05</v>
      </c>
      <c r="G51" s="52" t="str">
        <f t="array" ref="G51">INDEX(Command!$C11:$C13, MATCH(MAX(Command!I11:I13), Command!I11:I13, 0))</f>
        <v>command_r_plus_08_2024_temp05</v>
      </c>
      <c r="H51" s="52" t="str">
        <f t="array" ref="H51">INDEX(Command!$C11:$C13, MATCH(MAX(Command!J11:J13), Command!J11:J13, 0))</f>
        <v>command_r_plus_08_2024_temp05</v>
      </c>
      <c r="I51" s="52" t="str">
        <f t="array" ref="I51">INDEX(Command!$C11:$C13, MATCH(MAX(Command!K11:K13), Command!K11:K13, 0))</f>
        <v>command_r_plus_08_2024_temp05</v>
      </c>
      <c r="J51" s="52" t="str">
        <f t="array" ref="J51">INDEX(Command!$C11:$C13, MATCH(MAX(Command!L11:L13), Command!L11:L13, 0))</f>
        <v>command_r_plus_08_2024_temp03</v>
      </c>
      <c r="K51" s="52" t="str">
        <f t="array" ref="K51">INDEX(Command!$C11:$C13, MATCH(MAX(Command!M11:M13), Command!M11:M13, 0))</f>
        <v>command_r_plus_08_2024_temp03</v>
      </c>
      <c r="L51" s="52" t="str">
        <f t="array" ref="L51">INDEX(Command!$C11:$C13, MATCH(MAX(Command!N11:N13), Command!N11:N13, 0))</f>
        <v>command_r_plus_08_2024_temp03</v>
      </c>
      <c r="M51" s="52" t="str">
        <f t="array" ref="M51">INDEX(Command!$C11:$C13, MATCH(MAX(Command!O11:O13), Command!O11:O13, 0))</f>
        <v>command_r_plus_08_2024_temp03</v>
      </c>
    </row>
    <row r="52" ht="15.75" customHeight="1">
      <c r="A52" s="51" t="s">
        <v>111</v>
      </c>
      <c r="B52" s="52" t="str">
        <f t="array" ref="B52">INDEX(Gemma!$C20:$C22, MATCH(MAX(Gemma!D20:D22), Gemma!D20:D22))</f>
        <v>gemma_27b_temp07</v>
      </c>
      <c r="C52" s="52" t="str">
        <f t="array" ref="C52">INDEX(Gemma!$C20:$C22, MATCH(MAX(Gemma!E20:E22), Gemma!E20:E22))</f>
        <v>gemma_27b_temp07</v>
      </c>
      <c r="D52" s="52" t="str">
        <f t="array" ref="D52">INDEX(Gemma!$C20:$C22, MATCH(MAX(Gemma!F20:F22), Gemma!F20:F22))</f>
        <v>gemma_27b_temp07</v>
      </c>
      <c r="E52" s="52" t="str">
        <f t="array" ref="E52">INDEX(Gemma!$C20:$C22, MATCH(MAX(Gemma!G20:G22), Gemma!G20:G22))</f>
        <v>gemma_27b_temp07</v>
      </c>
      <c r="F52" s="52" t="str">
        <f t="array" ref="F52">INDEX(Gemma!$C20:$C22, MATCH(MAX(Gemma!H20:H22), Gemma!H20:H22))</f>
        <v>gemma_27b_temp07</v>
      </c>
      <c r="G52" s="52" t="str">
        <f t="array" ref="G52">INDEX(Gemma!$C20:$C22, MATCH(MAX(Gemma!I20:I22), Gemma!I20:I22))</f>
        <v>gemma_27b_temp07</v>
      </c>
      <c r="H52" s="52" t="str">
        <f t="array" ref="H52">INDEX(Gemma!$C20:$C22, MATCH(MAX(Gemma!J20:J22), Gemma!J20:J22))</f>
        <v>gemma_27b_temp07</v>
      </c>
      <c r="I52" s="52" t="str">
        <f t="array" ref="I52">INDEX(Gemma!$C20:$C22, MATCH(MAX(Gemma!K20:K22), Gemma!K20:K22))</f>
        <v>gemma_27b_temp07</v>
      </c>
      <c r="J52" s="52" t="str">
        <f t="array" ref="J52">INDEX(Gemma!$C20:$C22, MATCH(MAX(Gemma!L20:L22), Gemma!L20:L22))</f>
        <v>gemma_27b_temp07</v>
      </c>
      <c r="K52" s="52" t="str">
        <f t="array" ref="K52">INDEX(Gemma!$C20:$C22, MATCH(MAX(Gemma!M20:M22), Gemma!M20:M22))</f>
        <v>gemma_27b_temp07</v>
      </c>
      <c r="L52" s="52" t="str">
        <f t="array" ref="L52">INDEX(Gemma!$C20:$C22, MATCH(MAX(Gemma!N20:N22), Gemma!N20:N22))</f>
        <v>gemma_27b_temp07</v>
      </c>
      <c r="M52" s="52" t="str">
        <f t="array" ref="M52">INDEX(Gemma!$C20:$C22, MATCH(MAX(Gemma!O20:O22), Gemma!O20:O22))</f>
        <v>gemma_27b_temp07</v>
      </c>
    </row>
    <row r="53" ht="15.75" customHeight="1">
      <c r="A53" s="51" t="s">
        <v>112</v>
      </c>
      <c r="B53" s="52" t="str">
        <f t="array" ref="B53">INDEX(Gemma!$C23:$C25, MATCH(MAX(Gemma!D23:D25),Gemma!D23:D25))</f>
        <v>gemma_9b_temp07</v>
      </c>
      <c r="C53" s="52" t="str">
        <f t="array" ref="C53">INDEX(Gemma!$C23:$C25, MATCH(MAX(Gemma!E23:E25),Gemma!E23:E25))</f>
        <v>gemma_9b_temp07</v>
      </c>
      <c r="D53" s="52" t="str">
        <f t="array" ref="D53">INDEX(Gemma!$C23:$C25, MATCH(MAX(Gemma!F23:F25),Gemma!F23:F25))</f>
        <v>gemma_9b_temp07</v>
      </c>
      <c r="E53" s="52" t="str">
        <f t="array" ref="E53">INDEX(Gemma!$C23:$C25, MATCH(MAX(Gemma!G23:G25),Gemma!G23:G25))</f>
        <v>gemma_9b_temp07</v>
      </c>
      <c r="F53" s="52" t="str">
        <f t="array" ref="F53">INDEX(Gemma!$C23:$C25, MATCH(MAX(Gemma!H23:H25),Gemma!H23:H25))</f>
        <v>gemma_9b_temp07</v>
      </c>
      <c r="G53" s="52" t="str">
        <f t="array" ref="G53">INDEX(Gemma!$C23:$C25, MATCH(MAX(Gemma!I23:I25),Gemma!I23:I25))</f>
        <v>gemma_9b_temp07</v>
      </c>
      <c r="H53" s="52" t="str">
        <f t="array" ref="H53">INDEX(Gemma!$C23:$C25, MATCH(MAX(Gemma!J23:J25),Gemma!J23:J25))</f>
        <v>gemma_9b_temp07</v>
      </c>
      <c r="I53" s="52" t="str">
        <f t="array" ref="I53">INDEX(Gemma!$C23:$C25, MATCH(MAX(Gemma!K23:K25),Gemma!K23:K25))</f>
        <v>gemma_9b_temp07</v>
      </c>
      <c r="J53" s="52" t="str">
        <f t="array" ref="J53">INDEX(Gemma!$C23:$C25, MATCH(MAX(Gemma!L23:L25),Gemma!L23:L25))</f>
        <v>gemma_9b_temp07</v>
      </c>
      <c r="K53" s="52" t="str">
        <f t="array" ref="K53">INDEX(Gemma!$C23:$C25, MATCH(MAX(Gemma!M23:M25),Gemma!M23:M25))</f>
        <v>gemma_9b_temp07</v>
      </c>
      <c r="L53" s="52" t="str">
        <f t="array" ref="L53">INDEX(Gemma!$C23:$C25, MATCH(MAX(Gemma!N23:N25),Gemma!N23:N25))</f>
        <v>gemma_9b_temp07</v>
      </c>
      <c r="M53" s="52" t="str">
        <f t="array" ref="M53">INDEX(Gemma!$C23:$C25, MATCH(MAX(Gemma!O23:O25),Gemma!O23:O25))</f>
        <v>gemma_9b_temp07</v>
      </c>
    </row>
    <row r="54" ht="15.75" customHeight="1">
      <c r="A54" s="51" t="s">
        <v>113</v>
      </c>
      <c r="B54" s="52" t="str">
        <f t="array" ref="B54">INDEX(GPT!$C:$C, MATCH(MAX(GPT!D11:D13),GPT!D11:D13))</f>
        <v>gpt4o_temp05</v>
      </c>
      <c r="C54" s="52" t="str">
        <f t="array" ref="C54">INDEX(GPT!$C:$C, MATCH(MAX(GPT!E11:E13),GPT!E11:E13))</f>
        <v>gpt4o_temp05</v>
      </c>
      <c r="D54" s="52" t="str">
        <f t="array" ref="D54">INDEX(GPT!$C:$C, MATCH(MAX(GPT!F11:F13),GPT!F11:F13))</f>
        <v>gpt4o_temp05</v>
      </c>
      <c r="E54" s="52" t="str">
        <f t="array" ref="E54">INDEX(GPT!$C:$C, MATCH(MAX(GPT!G11:G13),GPT!G11:G13))</f>
        <v>gpt4o_temp05</v>
      </c>
      <c r="F54" s="52" t="str">
        <f t="array" ref="F54">INDEX(GPT!$C:$C, MATCH(MAX(GPT!H11:H13),GPT!H11:H13))</f>
        <v>gpt4o_temp05</v>
      </c>
      <c r="G54" s="52" t="str">
        <f t="array" ref="G54">INDEX(GPT!$C:$C, MATCH(MAX(GPT!I11:I13),GPT!I11:I13))</f>
        <v>gpt4o_temp05</v>
      </c>
      <c r="H54" s="52" t="str">
        <f t="array" ref="H54">INDEX(GPT!$C:$C, MATCH(MAX(GPT!J11:J13),GPT!J11:J13))</f>
        <v>gpt4o_temp05</v>
      </c>
      <c r="I54" s="52" t="str">
        <f t="array" ref="I54">INDEX(GPT!$C:$C, MATCH(MAX(GPT!K11:K13),GPT!K11:K13))</f>
        <v>gpt4o_temp05</v>
      </c>
      <c r="J54" s="52" t="str">
        <f t="array" ref="J54">INDEX(GPT!$C:$C, MATCH(MAX(GPT!L11:L13),GPT!L11:L13))</f>
        <v>gpt4o_temp05</v>
      </c>
      <c r="K54" s="52" t="str">
        <f t="array" ref="K54">INDEX(GPT!$C:$C, MATCH(MAX(GPT!M11:M13),GPT!M11:M13))</f>
        <v>gpt4o_temp05</v>
      </c>
      <c r="L54" s="52" t="str">
        <f t="array" ref="L54">INDEX(GPT!$C:$C, MATCH(MAX(GPT!N11:N13),GPT!N11:N13))</f>
        <v>gpt4o_temp05</v>
      </c>
      <c r="M54" s="52" t="str">
        <f t="array" ref="M54">INDEX(GPT!$C:$C, MATCH(MAX(GPT!O11:O13),GPT!O11:O13))</f>
        <v>gpt4o_temp05</v>
      </c>
    </row>
    <row r="55" ht="15.75" customHeight="1">
      <c r="A55" s="51" t="s">
        <v>114</v>
      </c>
      <c r="B55" s="52" t="str">
        <f t="array" ref="B55">INDEX(Llama!$C20:$C22, MATCH(MAX(Llama!D20:D22), Llama!D20:D22))</f>
        <v>llama_405b_temp07</v>
      </c>
      <c r="C55" s="52" t="str">
        <f t="array" ref="C55">INDEX(Llama!$C20:$C22, MATCH(MAX(Llama!E20:E22), Llama!E20:E22))</f>
        <v>llama_405b_temp07</v>
      </c>
      <c r="D55" s="52" t="str">
        <f t="array" ref="D55">INDEX(Llama!$C20:$C22, MATCH(MAX(Llama!F20:F22), Llama!F20:F22))</f>
        <v>llama_405b_temp07</v>
      </c>
      <c r="E55" s="52" t="str">
        <f t="array" ref="E55">INDEX(Llama!$C20:$C22, MATCH(MAX(Llama!G20:G22), Llama!G20:G22))</f>
        <v>llama_405b_temp07</v>
      </c>
      <c r="F55" s="52" t="str">
        <f t="array" ref="F55">INDEX(Llama!$C20:$C22, MATCH(MAX(Llama!H20:H22), Llama!H20:H22))</f>
        <v>llama_405b_temp07</v>
      </c>
      <c r="G55" s="52" t="str">
        <f t="array" ref="G55">INDEX(Llama!$C20:$C22, MATCH(MAX(Llama!I20:I22), Llama!I20:I22))</f>
        <v>llama_405b_temp07</v>
      </c>
      <c r="H55" s="52" t="str">
        <f t="array" ref="H55">INDEX(Llama!$C20:$C22, MATCH(MAX(Llama!J20:J22), Llama!J20:J22))</f>
        <v>llama_405b_temp07</v>
      </c>
      <c r="I55" s="52" t="str">
        <f t="array" ref="I55">INDEX(Llama!$C20:$C22, MATCH(MAX(Llama!K20:K22), Llama!K20:K22))</f>
        <v>llama_405b_temp07</v>
      </c>
      <c r="J55" s="52" t="str">
        <f t="array" ref="J55">INDEX(Llama!$C20:$C22, MATCH(MAX(Llama!L20:L22), Llama!L20:L22))</f>
        <v>llama_405b_temp07</v>
      </c>
      <c r="K55" s="52" t="str">
        <f t="array" ref="K55">INDEX(Llama!$C20:$C22, MATCH(MAX(Llama!M20:M22), Llama!M20:M22))</f>
        <v>llama_405b_temp07</v>
      </c>
      <c r="L55" s="52" t="str">
        <f t="array" ref="L55">INDEX(Llama!$C20:$C22, MATCH(MAX(Llama!N20:N22), Llama!N20:N22))</f>
        <v>llama_405b_temp07</v>
      </c>
      <c r="M55" s="52" t="str">
        <f t="array" ref="M55">INDEX(Llama!$C20:$C22, MATCH(MAX(Llama!O20:O22), Llama!O20:O22))</f>
        <v>llama_405b_temp07</v>
      </c>
    </row>
    <row r="56" ht="15.75" customHeight="1">
      <c r="A56" s="51" t="s">
        <v>115</v>
      </c>
      <c r="B56" s="52" t="str">
        <f t="array" ref="B56">INDEX(Llama!$C23:$C25, MATCH(MAX(Llama!D23:D25),Llama!D23:D25))</f>
        <v>llama_8b_temp07</v>
      </c>
      <c r="C56" s="52" t="str">
        <f t="array" ref="C56">INDEX(Llama!$C23:$C25, MATCH(MAX(Llama!E23:E25),Llama!E23:E25))</f>
        <v>llama_8b_temp07</v>
      </c>
      <c r="D56" s="52" t="str">
        <f t="array" ref="D56">INDEX(Llama!$C23:$C25, MATCH(MAX(Llama!F23:F25),Llama!F23:F25))</f>
        <v>llama_8b_temp07</v>
      </c>
      <c r="E56" s="52" t="str">
        <f t="array" ref="E56">INDEX(Llama!$C23:$C25, MATCH(MAX(Llama!G23:G25),Llama!G23:G25))</f>
        <v>llama_8b_temp07</v>
      </c>
      <c r="F56" s="52" t="str">
        <f t="array" ref="F56">INDEX(Llama!$C23:$C25, MATCH(MAX(Llama!H23:H25),Llama!H23:H25))</f>
        <v>llama_8b_temp07</v>
      </c>
      <c r="G56" s="52" t="str">
        <f t="array" ref="G56">INDEX(Llama!$C23:$C25, MATCH(MAX(Llama!I23:I25),Llama!I23:I25))</f>
        <v>llama_8b_temp07</v>
      </c>
      <c r="H56" s="52" t="str">
        <f t="array" ref="H56">INDEX(Llama!$C23:$C25, MATCH(MAX(Llama!J23:J25),Llama!J23:J25))</f>
        <v>llama_8b_temp07</v>
      </c>
      <c r="I56" s="52" t="str">
        <f t="array" ref="I56">INDEX(Llama!$C23:$C25, MATCH(MAX(Llama!K23:K25),Llama!K23:K25))</f>
        <v>llama_8b_temp07</v>
      </c>
      <c r="J56" s="52" t="str">
        <f t="array" ref="J56">INDEX(Llama!$C23:$C25, MATCH(MAX(Llama!L23:L25),Llama!L23:L25))</f>
        <v>llama_8b_temp07</v>
      </c>
      <c r="K56" s="52" t="str">
        <f t="array" ref="K56">INDEX(Llama!$C23:$C25, MATCH(MAX(Llama!M23:M25),Llama!M23:M25))</f>
        <v>llama_8b_temp07</v>
      </c>
      <c r="L56" s="52" t="str">
        <f t="array" ref="L56">INDEX(Llama!$C23:$C25, MATCH(MAX(Llama!N23:N25),Llama!N23:N25))</f>
        <v>llama_8b_temp07</v>
      </c>
      <c r="M56" s="52" t="str">
        <f t="array" ref="M56">INDEX(Llama!$C23:$C25, MATCH(MAX(Llama!O23:O25),Llama!O23:O25))</f>
        <v>llama_8b_temp07</v>
      </c>
    </row>
    <row r="57" ht="15.75" customHeight="1">
      <c r="A57" s="51" t="s">
        <v>116</v>
      </c>
      <c r="B57" s="52" t="str">
        <f t="array" ref="B57">INDEX(Mixtral!$C20:$C22, MATCH(MAX(Mixtral!D20:D22), Mixtral!D20:D22))</f>
        <v>mixtral_8x22b_temp07</v>
      </c>
      <c r="C57" s="52" t="str">
        <f t="array" ref="C57">INDEX(Mixtral!$C20:$C22, MATCH(MAX(Mixtral!E20:E22), Mixtral!E20:E22))</f>
        <v>mixtral_8x22b_temp07</v>
      </c>
      <c r="D57" s="52" t="str">
        <f t="array" ref="D57">INDEX(Mixtral!$C20:$C22, MATCH(MAX(Mixtral!F20:F22), Mixtral!F20:F22))</f>
        <v>mixtral_8x22b_temp07</v>
      </c>
      <c r="E57" s="52" t="str">
        <f t="array" ref="E57">INDEX(Mixtral!$C20:$C22, MATCH(MAX(Mixtral!G20:G22), Mixtral!G20:G22))</f>
        <v>mixtral_8x22b_temp07</v>
      </c>
      <c r="F57" s="52" t="str">
        <f t="array" ref="F57">INDEX(Mixtral!$C20:$C22, MATCH(MAX(Mixtral!H20:H22), Mixtral!H20:H22))</f>
        <v>mixtral_8x22b_temp07</v>
      </c>
      <c r="G57" s="52" t="str">
        <f t="array" ref="G57">INDEX(Mixtral!$C20:$C22, MATCH(MAX(Mixtral!I20:I22), Mixtral!I20:I22))</f>
        <v>mixtral_8x22b_temp07</v>
      </c>
      <c r="H57" s="52" t="str">
        <f t="array" ref="H57">INDEX(Mixtral!$C20:$C22, MATCH(MAX(Mixtral!J20:J22), Mixtral!J20:J22))</f>
        <v>mixtral_8x22b_temp07</v>
      </c>
      <c r="I57" s="52" t="str">
        <f t="array" ref="I57">INDEX(Mixtral!$C20:$C22, MATCH(MAX(Mixtral!K20:K22), Mixtral!K20:K22))</f>
        <v>mixtral_8x22b_temp07</v>
      </c>
      <c r="J57" s="52" t="str">
        <f t="array" ref="J57">INDEX(Mixtral!$C20:$C22, MATCH(MAX(Mixtral!L20:L22), Mixtral!L20:L22))</f>
        <v>mixtral_8x22b_temp07</v>
      </c>
      <c r="K57" s="52" t="str">
        <f t="array" ref="K57">INDEX(Mixtral!$C20:$C22, MATCH(MAX(Mixtral!M20:M22), Mixtral!M20:M22))</f>
        <v>mixtral_8x22b_temp07</v>
      </c>
      <c r="L57" s="52" t="str">
        <f t="array" ref="L57">INDEX(Mixtral!$C20:$C22, MATCH(MAX(Mixtral!N20:N22), Mixtral!N20:N22))</f>
        <v>mixtral_8x22b_temp07</v>
      </c>
      <c r="M57" s="52" t="str">
        <f t="array" ref="M57">INDEX(Mixtral!$C20:$C22, MATCH(MAX(Mixtral!O20:O22), Mixtral!O20:O22))</f>
        <v>mixtral_8x22b_temp07</v>
      </c>
    </row>
    <row r="58" ht="15.75" customHeight="1">
      <c r="A58" s="51" t="s">
        <v>117</v>
      </c>
      <c r="B58" s="52" t="str">
        <f t="array" ref="B58">INDEX(Mixtral!$C23:$C25, MATCH(MAX(Mixtral!D23:D25),Mixtral!D23:D25))</f>
        <v>mixtral_8x7b_temp07</v>
      </c>
      <c r="C58" s="52" t="str">
        <f t="array" ref="C58">INDEX(Mixtral!$C23:$C25, MATCH(MAX(Mixtral!E23:E25),Mixtral!E23:E25))</f>
        <v>mixtral_8x7b_temp07</v>
      </c>
      <c r="D58" s="52" t="str">
        <f t="array" ref="D58">INDEX(Mixtral!$C23:$C25, MATCH(MAX(Mixtral!F23:F25),Mixtral!F23:F25))</f>
        <v>mixtral_8x7b_temp07</v>
      </c>
      <c r="E58" s="52" t="str">
        <f t="array" ref="E58">INDEX(Mixtral!$C23:$C25, MATCH(MAX(Mixtral!G23:G25),Mixtral!G23:G25))</f>
        <v>mixtral_8x7b_temp07</v>
      </c>
      <c r="F58" s="52" t="str">
        <f t="array" ref="F58">INDEX(Mixtral!$C23:$C25, MATCH(MAX(Mixtral!H23:H25),Mixtral!H23:H25))</f>
        <v>mixtral_8x7b_temp07</v>
      </c>
      <c r="G58" s="52" t="str">
        <f t="array" ref="G58">INDEX(Mixtral!$C23:$C25, MATCH(MAX(Mixtral!I23:I25),Mixtral!I23:I25))</f>
        <v>mixtral_8x7b_temp07</v>
      </c>
      <c r="H58" s="52" t="str">
        <f t="array" ref="H58">INDEX(Mixtral!$C23:$C25, MATCH(MAX(Mixtral!J23:J25),Mixtral!J23:J25))</f>
        <v>mixtral_8x7b_temp07</v>
      </c>
      <c r="I58" s="52" t="str">
        <f t="array" ref="I58">INDEX(Mixtral!$C23:$C25, MATCH(MAX(Mixtral!K23:K25),Mixtral!K23:K25))</f>
        <v>mixtral_8x7b_temp07</v>
      </c>
      <c r="J58" s="52" t="str">
        <f t="array" ref="J58">INDEX(Mixtral!$C23:$C25, MATCH(MAX(Mixtral!L23:L25),Mixtral!L23:L25))</f>
        <v>mixtral_8x7b_temp07</v>
      </c>
      <c r="K58" s="52" t="str">
        <f t="array" ref="K58">INDEX(Mixtral!$C23:$C25, MATCH(MAX(Mixtral!M23:M25),Mixtral!M23:M25))</f>
        <v>mixtral_8x7b_temp07</v>
      </c>
      <c r="L58" s="52" t="str">
        <f t="array" ref="L58">INDEX(Mixtral!$C23:$C25, MATCH(MAX(Mixtral!N23:N25),Mixtral!N23:N25))</f>
        <v>mixtral_8x7b_temp07</v>
      </c>
      <c r="M58" s="52" t="str">
        <f t="array" ref="M58">INDEX(Mixtral!$C23:$C25, MATCH(MAX(Mixtral!O23:O25),Mixtral!O23:O25))</f>
        <v>mixtral_8x7b_temp07</v>
      </c>
    </row>
    <row r="59" ht="15.75" customHeight="1">
      <c r="A59" s="51" t="s">
        <v>118</v>
      </c>
      <c r="B59" s="52" t="str">
        <f t="array" ref="B59">INDEX(Phi!$C20:$C22, MATCH(MAX(Phi!D20:D22), Phi!D20:D22))</f>
        <v>phi_3.5_vision_temp07</v>
      </c>
      <c r="C59" s="52" t="str">
        <f t="array" ref="C59">INDEX(Phi!$C20:$C22, MATCH(MAX(Phi!E20:E22), Phi!E20:E22))</f>
        <v>phi_3.5_vision_temp07</v>
      </c>
      <c r="D59" s="52" t="str">
        <f t="array" ref="D59">INDEX(Phi!$C20:$C22, MATCH(MAX(Phi!F20:F22), Phi!F20:F22))</f>
        <v>phi_3.5_vision_temp07</v>
      </c>
      <c r="E59" s="52" t="str">
        <f t="array" ref="E59">INDEX(Phi!$C20:$C22, MATCH(MAX(Phi!G20:G22), Phi!G20:G22))</f>
        <v>phi_3.5_vision_temp07</v>
      </c>
      <c r="F59" s="52" t="str">
        <f t="array" ref="F59">INDEX(Phi!$C20:$C22, MATCH(MAX(Phi!H20:H22), Phi!H20:H22))</f>
        <v>phi_3.5_vision_temp07</v>
      </c>
      <c r="G59" s="52" t="str">
        <f t="array" ref="G59">INDEX(Phi!$C20:$C22, MATCH(MAX(Phi!I20:I22), Phi!I20:I22))</f>
        <v>phi_3.5_vision_temp07</v>
      </c>
      <c r="H59" s="52" t="str">
        <f t="array" ref="H59">INDEX(Phi!$C20:$C22, MATCH(MAX(Phi!J20:J22), Phi!J20:J22))</f>
        <v>phi_3.5_vision_temp07</v>
      </c>
      <c r="I59" s="52" t="str">
        <f t="array" ref="I59">INDEX(Phi!$C20:$C22, MATCH(MAX(Phi!K20:K22), Phi!K20:K22))</f>
        <v>phi_3.5_vision_temp07</v>
      </c>
      <c r="J59" s="52" t="str">
        <f t="array" ref="J59">INDEX(Phi!$C20:$C22, MATCH(MAX(Phi!L20:L22), Phi!L20:L22))</f>
        <v>phi_3.5_vision_temp07</v>
      </c>
      <c r="K59" s="52" t="str">
        <f t="array" ref="K59">INDEX(Phi!$C20:$C22, MATCH(MAX(Phi!M20:M22), Phi!M20:M22))</f>
        <v>phi_3.5_vision_temp07</v>
      </c>
      <c r="L59" s="52" t="str">
        <f t="array" ref="L59">INDEX(Phi!$C20:$C22, MATCH(MAX(Phi!N20:N22), Phi!N20:N22))</f>
        <v>phi_3.5_vision_temp07</v>
      </c>
      <c r="M59" s="52" t="str">
        <f t="array" ref="M59">INDEX(Phi!$C20:$C22, MATCH(MAX(Phi!O20:O22), Phi!O20:O22))</f>
        <v>phi_3.5_vision_temp07</v>
      </c>
    </row>
    <row r="60" ht="15.75" customHeight="1">
      <c r="A60" s="51" t="s">
        <v>119</v>
      </c>
      <c r="B60" s="52" t="str">
        <f t="array" ref="B60">INDEX(Phi!$C23:$C25, MATCH(MAX(Phi!D23:D25),Phi!D23:D25))</f>
        <v>phi_3_mini_temp07</v>
      </c>
      <c r="C60" s="52" t="str">
        <f t="array" ref="C60">INDEX(Phi!$C23:$C25, MATCH(MAX(Phi!E23:E25),Phi!E23:E25))</f>
        <v>phi_3_mini_temp07</v>
      </c>
      <c r="D60" s="52" t="str">
        <f t="array" ref="D60">INDEX(Phi!$C23:$C25, MATCH(MAX(Phi!F23:F25),Phi!F23:F25))</f>
        <v>phi_3_mini_temp07</v>
      </c>
      <c r="E60" s="52" t="str">
        <f t="array" ref="E60">INDEX(Phi!$C23:$C25, MATCH(MAX(Phi!G23:G25),Phi!G23:G25))</f>
        <v>phi_3_mini_temp07</v>
      </c>
      <c r="F60" s="52" t="str">
        <f t="array" ref="F60">INDEX(Phi!$C23:$C25, MATCH(MAX(Phi!H23:H25),Phi!H23:H25))</f>
        <v>phi_3_mini_temp07</v>
      </c>
      <c r="G60" s="52" t="str">
        <f t="array" ref="G60">INDEX(Phi!$C23:$C25, MATCH(MAX(Phi!I23:I25),Phi!I23:I25))</f>
        <v>phi_3_mini_temp07</v>
      </c>
      <c r="H60" s="52" t="str">
        <f t="array" ref="H60">INDEX(Phi!$C23:$C25, MATCH(MAX(Phi!J23:J25),Phi!J23:J25))</f>
        <v>phi_3_mini_temp07</v>
      </c>
      <c r="I60" s="52" t="str">
        <f t="array" ref="I60">INDEX(Phi!$C23:$C25, MATCH(MAX(Phi!K23:K25),Phi!K23:K25))</f>
        <v>phi_3_mini_temp07</v>
      </c>
      <c r="J60" s="52" t="str">
        <f t="array" ref="J60">INDEX(Phi!$C23:$C25, MATCH(MAX(Phi!L23:L25),Phi!L23:L25))</f>
        <v>phi_3_mini_temp07</v>
      </c>
      <c r="K60" s="52" t="str">
        <f t="array" ref="K60">INDEX(Phi!$C23:$C25, MATCH(MAX(Phi!M23:M25),Phi!M23:M25))</f>
        <v>phi_3_mini_temp07</v>
      </c>
      <c r="L60" s="52" t="str">
        <f t="array" ref="L60">INDEX(Phi!$C23:$C25, MATCH(MAX(Phi!N23:N25),Phi!N23:N25))</f>
        <v>phi_3_mini_temp07</v>
      </c>
      <c r="M60" s="52" t="str">
        <f t="array" ref="M60">INDEX(Phi!$C23:$C25, MATCH(MAX(Phi!O23:O25),Phi!O23:O25))</f>
        <v>phi_3_mini_temp07</v>
      </c>
    </row>
    <row r="61" ht="15.75" customHeight="1">
      <c r="A61" s="51" t="s">
        <v>120</v>
      </c>
      <c r="B61" s="52" t="str">
        <f t="array" ref="B61">INDEX(Qwen!$C20:$C22, MATCH(MAX(Qwen!D20:D22), Qwen!D20:D22))</f>
        <v>qwen2_72b_temp07</v>
      </c>
      <c r="C61" s="52" t="str">
        <f t="array" ref="C61">INDEX(Qwen!$C20:$C22, MATCH(MAX(Qwen!E20:E22), Qwen!E20:E22))</f>
        <v>qwen2_72b_temp07</v>
      </c>
      <c r="D61" s="52" t="str">
        <f t="array" ref="D61">INDEX(Qwen!$C20:$C22, MATCH(MAX(Qwen!F20:F22), Qwen!F20:F22))</f>
        <v>qwen2_72b_temp07</v>
      </c>
      <c r="E61" s="52" t="str">
        <f t="array" ref="E61">INDEX(Qwen!$C20:$C22, MATCH(MAX(Qwen!G20:G22), Qwen!G20:G22))</f>
        <v>qwen2_72b_temp07</v>
      </c>
      <c r="F61" s="52" t="str">
        <f t="array" ref="F61">INDEX(Qwen!$C20:$C22, MATCH(MAX(Qwen!H20:H22), Qwen!H20:H22))</f>
        <v>qwen2_72b_temp07</v>
      </c>
      <c r="G61" s="52" t="str">
        <f t="array" ref="G61">INDEX(Qwen!$C20:$C22, MATCH(MAX(Qwen!I20:I22), Qwen!I20:I22))</f>
        <v>qwen2_72b_temp07</v>
      </c>
      <c r="H61" s="52" t="str">
        <f t="array" ref="H61">INDEX(Qwen!$C20:$C22, MATCH(MAX(Qwen!J20:J22), Qwen!J20:J22))</f>
        <v>qwen2_72b_temp07</v>
      </c>
      <c r="I61" s="52" t="str">
        <f t="array" ref="I61">INDEX(Qwen!$C20:$C22, MATCH(MAX(Qwen!K20:K22), Qwen!K20:K22))</f>
        <v>qwen2_72b_temp07</v>
      </c>
      <c r="J61" s="52" t="str">
        <f t="array" ref="J61">INDEX(Qwen!$C20:$C22, MATCH(MAX(Qwen!L20:L22), Qwen!L20:L22))</f>
        <v>qwen2_72b_temp07</v>
      </c>
      <c r="K61" s="52" t="str">
        <f t="array" ref="K61">INDEX(Qwen!$C20:$C22, MATCH(MAX(Qwen!M20:M22), Qwen!M20:M22))</f>
        <v>qwen2_72b_temp07</v>
      </c>
      <c r="L61" s="52" t="str">
        <f t="array" ref="L61">INDEX(Qwen!$C20:$C22, MATCH(MAX(Qwen!N20:N22), Qwen!N20:N22))</f>
        <v>qwen2_72b_temp07</v>
      </c>
      <c r="M61" s="52" t="str">
        <f t="array" ref="M61">INDEX(Qwen!$C20:$C22, MATCH(MAX(Qwen!O20:O22), Qwen!O20:O22))</f>
        <v>qwen2_72b_temp07</v>
      </c>
    </row>
    <row r="62" ht="15.75" customHeight="1">
      <c r="A62" s="51" t="s">
        <v>121</v>
      </c>
      <c r="B62" s="52" t="str">
        <f t="array" ref="B62">INDEX(Qwen!$C23:$C25, MATCH(MAX(Qwen!D23:D25),Qwen!D23:D25))</f>
        <v>qwen2_7b_temp07</v>
      </c>
      <c r="C62" s="52" t="str">
        <f t="array" ref="C62">INDEX(Qwen!$C23:$C25, MATCH(MAX(Qwen!E23:E25),Qwen!E23:E25))</f>
        <v>qwen2_7b_temp07</v>
      </c>
      <c r="D62" s="52" t="str">
        <f t="array" ref="D62">INDEX(Qwen!$C23:$C25, MATCH(MAX(Qwen!F23:F25),Qwen!F23:F25))</f>
        <v>qwen2_7b_temp07</v>
      </c>
      <c r="E62" s="52" t="str">
        <f t="array" ref="E62">INDEX(Qwen!$C23:$C25, MATCH(MAX(Qwen!G23:G25),Qwen!G23:G25))</f>
        <v>qwen2_7b_temp07</v>
      </c>
      <c r="F62" s="52" t="str">
        <f t="array" ref="F62">INDEX(Qwen!$C23:$C25, MATCH(MAX(Qwen!H23:H25),Qwen!H23:H25))</f>
        <v>qwen2_7b_temp07</v>
      </c>
      <c r="G62" s="52" t="str">
        <f t="array" ref="G62">INDEX(Qwen!$C23:$C25, MATCH(MAX(Qwen!I23:I25),Qwen!I23:I25))</f>
        <v>qwen2_7b_temp07</v>
      </c>
      <c r="H62" s="52" t="str">
        <f t="array" ref="H62">INDEX(Qwen!$C23:$C25, MATCH(MAX(Qwen!J23:J25),Qwen!J23:J25))</f>
        <v>qwen2_7b_temp07</v>
      </c>
      <c r="I62" s="52" t="str">
        <f t="array" ref="I62">INDEX(Qwen!$C23:$C25, MATCH(MAX(Qwen!K23:K25),Qwen!K23:K25))</f>
        <v>qwen2_7b_temp07</v>
      </c>
      <c r="J62" s="52" t="str">
        <f t="array" ref="J62">INDEX(Qwen!$C23:$C25, MATCH(MAX(Qwen!L23:L25),Qwen!L23:L25))</f>
        <v>qwen2_7b_temp07</v>
      </c>
      <c r="K62" s="52" t="str">
        <f t="array" ref="K62">INDEX(Qwen!$C23:$C25, MATCH(MAX(Qwen!M23:M25),Qwen!M23:M25))</f>
        <v>qwen2_7b_temp07</v>
      </c>
      <c r="L62" s="52" t="str">
        <f t="array" ref="L62">INDEX(Qwen!$C23:$C25, MATCH(MAX(Qwen!N23:N25),Qwen!N23:N25))</f>
        <v>qwen2_7b_temp07</v>
      </c>
      <c r="M62" s="52" t="str">
        <f t="array" ref="M62">INDEX(Qwen!$C23:$C25, MATCH(MAX(Qwen!O23:O25),Qwen!O23:O25))</f>
        <v>qwen2_7b_temp07</v>
      </c>
    </row>
    <row r="63" ht="15.75" customHeight="1">
      <c r="A63" s="51" t="s">
        <v>122</v>
      </c>
      <c r="B63" s="52" t="str">
        <f t="array" ref="B63">INDEX(Sabia!$C11:$C13, MATCH(MAX(Sabia!D11:D13), Sabia!D11:D13, 0))</f>
        <v>sabia3_temp05</v>
      </c>
      <c r="C63" s="52" t="str">
        <f t="array" ref="C63">INDEX(Sabia!$C11:$C13, MATCH(MAX(Sabia!E11:E13), Sabia!E11:E13, 0))</f>
        <v>sabia3_temp05</v>
      </c>
      <c r="D63" s="52" t="str">
        <f t="array" ref="D63">INDEX(Sabia!$C11:$C13, MATCH(MAX(Sabia!F11:F13), Sabia!F11:F13, 0))</f>
        <v>sabia3_temp05</v>
      </c>
      <c r="E63" s="52" t="str">
        <f t="array" ref="E63">INDEX(Sabia!$C11:$C13, MATCH(MAX(Sabia!G11:G13), Sabia!G11:G13, 0))</f>
        <v>sabia3_temp05</v>
      </c>
      <c r="F63" s="52" t="str">
        <f t="array" ref="F63">INDEX(Sabia!$C11:$C13, MATCH(MAX(Sabia!H11:H13), Sabia!H11:H13, 0))</f>
        <v>sabia3_temp07</v>
      </c>
      <c r="G63" s="52" t="str">
        <f t="array" ref="G63">INDEX(Sabia!$C11:$C13, MATCH(MAX(Sabia!I11:I13), Sabia!I11:I13, 0))</f>
        <v>sabia3_temp03</v>
      </c>
      <c r="H63" s="52" t="str">
        <f t="array" ref="H63">INDEX(Sabia!$C11:$C13, MATCH(MAX(Sabia!J11:J13), Sabia!J11:J13, 0))</f>
        <v>sabia3_temp07</v>
      </c>
      <c r="I63" s="52" t="str">
        <f t="array" ref="I63">INDEX(Sabia!$C11:$C13, MATCH(MAX(Sabia!K11:K13), Sabia!K11:K13, 0))</f>
        <v>sabia3_temp05</v>
      </c>
      <c r="J63" s="52" t="str">
        <f t="array" ref="J63">INDEX(Sabia!$C11:$C13, MATCH(MAX(Sabia!L11:L13), Sabia!L11:L13, 0))</f>
        <v>sabia3_temp03</v>
      </c>
      <c r="K63" s="52" t="str">
        <f t="array" ref="K63">INDEX(Sabia!$C11:$C13, MATCH(MAX(Sabia!M11:M13), Sabia!M11:M13, 0))</f>
        <v>sabia3_temp03</v>
      </c>
      <c r="L63" s="52" t="str">
        <f t="array" ref="L63">INDEX(Sabia!$C11:$C13, MATCH(MAX(Sabia!N11:N13), Sabia!N11:N13, 0))</f>
        <v>sabia3_temp03</v>
      </c>
      <c r="M63" s="52" t="str">
        <f t="array" ref="M63">INDEX(Sabia!$C11:$C13, MATCH(MAX(Sabia!O11:O13), Sabia!O11:O13, 0))</f>
        <v>sabia3_temp03</v>
      </c>
    </row>
    <row r="64" ht="15.75" customHeight="1"/>
    <row r="65" ht="15.75" customHeight="1">
      <c r="B65" s="13" t="s">
        <v>124</v>
      </c>
    </row>
    <row r="66" ht="15.75" customHeight="1">
      <c r="B66" s="50" t="s">
        <v>3</v>
      </c>
      <c r="C66" s="50" t="s">
        <v>4</v>
      </c>
      <c r="D66" s="50" t="s">
        <v>5</v>
      </c>
      <c r="E66" s="50" t="s">
        <v>6</v>
      </c>
      <c r="F66" s="50" t="s">
        <v>7</v>
      </c>
      <c r="G66" s="50" t="s">
        <v>8</v>
      </c>
      <c r="H66" s="50" t="s">
        <v>9</v>
      </c>
      <c r="I66" s="50" t="s">
        <v>10</v>
      </c>
      <c r="J66" s="50" t="s">
        <v>11</v>
      </c>
      <c r="K66" s="50" t="s">
        <v>12</v>
      </c>
      <c r="L66" s="50" t="s">
        <v>13</v>
      </c>
      <c r="M66" s="50" t="s">
        <v>14</v>
      </c>
    </row>
    <row r="67" ht="15.75" customHeight="1">
      <c r="A67" s="51" t="s">
        <v>110</v>
      </c>
      <c r="B67" s="52" t="str">
        <f t="array" ref="B67">INDEX(Command!$C14:$C16, MATCH(MAX(Command!D14:D16), Command!D14:D16, 0))</f>
        <v>command_r_plus_08_2024_temp03</v>
      </c>
      <c r="C67" s="52" t="str">
        <f t="array" ref="C67">INDEX(Command!$C14:$C16, MATCH(MAX(Command!E14:E16), Command!E14:E16, 0))</f>
        <v>command_r_plus_08_2024_temp07</v>
      </c>
      <c r="D67" s="52" t="str">
        <f t="array" ref="D67">INDEX(Command!$C14:$C16, MATCH(MAX(Command!F14:F16), Command!F14:F16, 0))</f>
        <v>command_r_plus_08_2024_temp05</v>
      </c>
      <c r="E67" s="52" t="str">
        <f t="array" ref="E67">INDEX(Command!$C14:$C16, MATCH(MAX(Command!G14:G16), Command!G14:G16, 0))</f>
        <v>command_r_plus_08_2024_temp05</v>
      </c>
      <c r="F67" s="52" t="str">
        <f t="array" ref="F67">INDEX(Command!$C14:$C16, MATCH(MAX(Command!H14:H16), Command!H14:H16, 0))</f>
        <v>command_r_plus_08_2024_temp05</v>
      </c>
      <c r="G67" s="52" t="str">
        <f t="array" ref="G67">INDEX(Command!$C14:$C16, MATCH(MAX(Command!I14:I16), Command!I14:I16, 0))</f>
        <v>command_r_plus_08_2024_temp05</v>
      </c>
      <c r="H67" s="52" t="str">
        <f t="array" ref="H67">INDEX(Command!$C14:$C16, MATCH(MAX(Command!J14:J16), Command!J14:J16, 0))</f>
        <v>command_r_plus_08_2024_temp05</v>
      </c>
      <c r="I67" s="52" t="str">
        <f t="array" ref="I67">INDEX(Command!$C14:$C16, MATCH(MAX(Command!K14:K16), Command!K14:K16, 0))</f>
        <v>command_r_plus_08_2024_temp05</v>
      </c>
      <c r="J67" s="52" t="str">
        <f t="array" ref="J67">INDEX(Command!$C14:$C16, MATCH(MAX(Command!L14:L16), Command!L14:L16, 0))</f>
        <v>command_r_plus_08_2024_temp03</v>
      </c>
      <c r="K67" s="52" t="str">
        <f t="array" ref="K67">INDEX(Command!$C14:$C16, MATCH(MAX(Command!M14:M16), Command!M14:M16, 0))</f>
        <v>command_r_plus_08_2024_temp03</v>
      </c>
      <c r="L67" s="52" t="str">
        <f t="array" ref="L67">INDEX(Command!$C14:$C16, MATCH(MAX(Command!N14:N16), Command!N14:N16, 0))</f>
        <v>command_r_plus_08_2024_temp03</v>
      </c>
      <c r="M67" s="52" t="str">
        <f t="array" ref="M67">INDEX(Command!$C14:$C16, MATCH(MAX(Command!O14:O16), Command!O14:O16, 0))</f>
        <v>command_r_plus_08_2024_temp03</v>
      </c>
    </row>
    <row r="68" ht="15.75" customHeight="1">
      <c r="A68" s="51" t="s">
        <v>111</v>
      </c>
      <c r="B68" s="52" t="str">
        <f t="array" ref="B68">INDEX(Gemma!$C26:$C28, MATCH(MAX(Gemma!D26:D28), Gemma!D26:D28))</f>
        <v>gemma_27b_temp07</v>
      </c>
      <c r="C68" s="52" t="str">
        <f t="array" ref="C68">INDEX(Gemma!$C26:$C28, MATCH(MAX(Gemma!E26:E28), Gemma!E26:E28))</f>
        <v>gemma_27b_temp07</v>
      </c>
      <c r="D68" s="52" t="str">
        <f t="array" ref="D68">INDEX(Gemma!$C26:$C28, MATCH(MAX(Gemma!F26:F28), Gemma!F26:F28))</f>
        <v>gemma_27b_temp07</v>
      </c>
      <c r="E68" s="52" t="str">
        <f t="array" ref="E68">INDEX(Gemma!$C26:$C28, MATCH(MAX(Gemma!G26:G28), Gemma!G26:G28))</f>
        <v>gemma_27b_temp07</v>
      </c>
      <c r="F68" s="52" t="str">
        <f t="array" ref="F68">INDEX(Gemma!$C26:$C28, MATCH(MAX(Gemma!H26:H28), Gemma!H26:H28))</f>
        <v>gemma_27b_temp07</v>
      </c>
      <c r="G68" s="52" t="str">
        <f t="array" ref="G68">INDEX(Gemma!$C26:$C28, MATCH(MAX(Gemma!I26:I28), Gemma!I26:I28))</f>
        <v>gemma_27b_temp07</v>
      </c>
      <c r="H68" s="52" t="str">
        <f t="array" ref="H68">INDEX(Gemma!$C26:$C28, MATCH(MAX(Gemma!J26:J28), Gemma!J26:J28))</f>
        <v>gemma_27b_temp07</v>
      </c>
      <c r="I68" s="52" t="str">
        <f t="array" ref="I68">INDEX(Gemma!$C26:$C28, MATCH(MAX(Gemma!K26:K28), Gemma!K26:K28))</f>
        <v>gemma_27b_temp07</v>
      </c>
      <c r="J68" s="52" t="str">
        <f t="array" ref="J68">INDEX(Gemma!$C26:$C28, MATCH(MAX(Gemma!L26:L28), Gemma!L26:L28))</f>
        <v>gemma_27b_temp07</v>
      </c>
      <c r="K68" s="52" t="str">
        <f t="array" ref="K68">INDEX(Gemma!$C26:$C28, MATCH(MAX(Gemma!M26:M28), Gemma!M26:M28))</f>
        <v>gemma_27b_temp07</v>
      </c>
      <c r="L68" s="52" t="str">
        <f t="array" ref="L68">INDEX(Gemma!$C26:$C28, MATCH(MAX(Gemma!N26:N28), Gemma!N26:N28))</f>
        <v>gemma_27b_temp07</v>
      </c>
      <c r="M68" s="52" t="str">
        <f t="array" ref="M68">INDEX(Gemma!$C26:$C28, MATCH(MAX(Gemma!O26:O28), Gemma!O26:O28))</f>
        <v>gemma_27b_temp07</v>
      </c>
    </row>
    <row r="69" ht="15.75" customHeight="1">
      <c r="A69" s="51" t="s">
        <v>112</v>
      </c>
      <c r="B69" s="52" t="str">
        <f t="array" ref="B69">INDEX(Gemma!$C29:$C31, MATCH(MAX(Gemma!D29:D31),Gemma!D29:D31))</f>
        <v>gemma_9b_temp07</v>
      </c>
      <c r="C69" s="52" t="str">
        <f t="array" ref="C69">INDEX(Gemma!$C29:$C31, MATCH(MAX(Gemma!E29:E31),Gemma!E29:E31))</f>
        <v>gemma_9b_temp07</v>
      </c>
      <c r="D69" s="52" t="str">
        <f t="array" ref="D69">INDEX(Gemma!$C29:$C31, MATCH(MAX(Gemma!F29:F31),Gemma!F29:F31))</f>
        <v>gemma_9b_temp07</v>
      </c>
      <c r="E69" s="52" t="str">
        <f t="array" ref="E69">INDEX(Gemma!$C29:$C31, MATCH(MAX(Gemma!G29:G31),Gemma!G29:G31))</f>
        <v>gemma_9b_temp07</v>
      </c>
      <c r="F69" s="52" t="str">
        <f t="array" ref="F69">INDEX(Gemma!$C29:$C31, MATCH(MAX(Gemma!H29:H31),Gemma!H29:H31))</f>
        <v>gemma_9b_temp07</v>
      </c>
      <c r="G69" s="52" t="str">
        <f t="array" ref="G69">INDEX(Gemma!$C29:$C31, MATCH(MAX(Gemma!I29:I31),Gemma!I29:I31))</f>
        <v>gemma_9b_temp07</v>
      </c>
      <c r="H69" s="52" t="str">
        <f t="array" ref="H69">INDEX(Gemma!$C29:$C31, MATCH(MAX(Gemma!J29:J31),Gemma!J29:J31))</f>
        <v>gemma_9b_temp07</v>
      </c>
      <c r="I69" s="52" t="str">
        <f t="array" ref="I69">INDEX(Gemma!$C29:$C31, MATCH(MAX(Gemma!K29:K31),Gemma!K29:K31))</f>
        <v>gemma_9b_temp07</v>
      </c>
      <c r="J69" s="52" t="str">
        <f t="array" ref="J69">INDEX(Gemma!$C29:$C31, MATCH(MAX(Gemma!L29:L31),Gemma!L29:L31))</f>
        <v>gemma_9b_temp07</v>
      </c>
      <c r="K69" s="52" t="str">
        <f t="array" ref="K69">INDEX(Gemma!$C29:$C31, MATCH(MAX(Gemma!M29:M31),Gemma!M29:M31))</f>
        <v>gemma_9b_temp07</v>
      </c>
      <c r="L69" s="52" t="str">
        <f t="array" ref="L69">INDEX(Gemma!$C29:$C31, MATCH(MAX(Gemma!N29:N31),Gemma!N29:N31))</f>
        <v>gemma_9b_temp07</v>
      </c>
      <c r="M69" s="52" t="str">
        <f t="array" ref="M69">INDEX(Gemma!$C29:$C31, MATCH(MAX(Gemma!O29:O31),Gemma!O29:O31))</f>
        <v>gemma_9b_temp07</v>
      </c>
    </row>
    <row r="70" ht="15.75" customHeight="1">
      <c r="A70" s="51" t="s">
        <v>113</v>
      </c>
      <c r="B70" s="52" t="str">
        <f t="array" ref="B70">INDEX(GPT!$C:$C, MATCH(MAX(GPT!D14:D16),GPT!D14:D16))</f>
        <v>gpt4o_temp05</v>
      </c>
      <c r="C70" s="52" t="str">
        <f t="array" ref="C70">INDEX(GPT!$C:$C, MATCH(MAX(GPT!E14:E16),GPT!E14:E16))</f>
        <v>gpt4o_temp05</v>
      </c>
      <c r="D70" s="52" t="str">
        <f t="array" ref="D70">INDEX(GPT!$C:$C, MATCH(MAX(GPT!F14:F16),GPT!F14:F16))</f>
        <v>gpt4o_temp05</v>
      </c>
      <c r="E70" s="52" t="str">
        <f t="array" ref="E70">INDEX(GPT!$C:$C, MATCH(MAX(GPT!G14:G16),GPT!G14:G16))</f>
        <v>gpt4o_temp05</v>
      </c>
      <c r="F70" s="52" t="str">
        <f t="array" ref="F70">INDEX(GPT!$C:$C, MATCH(MAX(GPT!H14:H16),GPT!H14:H16))</f>
        <v>gpt4o_temp05</v>
      </c>
      <c r="G70" s="52" t="str">
        <f t="array" ref="G70">INDEX(GPT!$C:$C, MATCH(MAX(GPT!I14:I16),GPT!I14:I16))</f>
        <v>gpt4o_temp05</v>
      </c>
      <c r="H70" s="52" t="str">
        <f t="array" ref="H70">INDEX(GPT!$C:$C, MATCH(MAX(GPT!J14:J16),GPT!J14:J16))</f>
        <v>gpt4o_temp05</v>
      </c>
      <c r="I70" s="52" t="str">
        <f t="array" ref="I70">INDEX(GPT!$C:$C, MATCH(MAX(GPT!K14:K16),GPT!K14:K16))</f>
        <v>gpt4o_temp05</v>
      </c>
      <c r="J70" s="52" t="str">
        <f t="array" ref="J70">INDEX(GPT!$C:$C, MATCH(MAX(GPT!L14:L16),GPT!L14:L16))</f>
        <v>gpt4o_temp05</v>
      </c>
      <c r="K70" s="52" t="str">
        <f t="array" ref="K70">INDEX(GPT!$C:$C, MATCH(MAX(GPT!M14:M16),GPT!M14:M16))</f>
        <v>gpt4o_temp05</v>
      </c>
      <c r="L70" s="52" t="str">
        <f t="array" ref="L70">INDEX(GPT!$C:$C, MATCH(MAX(GPT!N14:N16),GPT!N14:N16))</f>
        <v>gpt4o_temp05</v>
      </c>
      <c r="M70" s="52" t="str">
        <f t="array" ref="M70">INDEX(GPT!$C:$C, MATCH(MAX(GPT!O14:O16),GPT!O14:O16))</f>
        <v>gpt4o_temp05</v>
      </c>
    </row>
    <row r="71" ht="15.75" customHeight="1">
      <c r="A71" s="51" t="s">
        <v>114</v>
      </c>
      <c r="B71" s="52" t="str">
        <f t="array" ref="B71">INDEX(Llama!$C26:$C28, MATCH(MAX(Llama!D26:D28), Llama!D26:D28))</f>
        <v>llama_405b_temp07</v>
      </c>
      <c r="C71" s="52" t="str">
        <f t="array" ref="C71">INDEX(Llama!$C26:$C28, MATCH(MAX(Llama!E26:E28), Llama!E26:E28))</f>
        <v>llama_405b_temp07</v>
      </c>
      <c r="D71" s="52" t="str">
        <f t="array" ref="D71">INDEX(Llama!$C26:$C28, MATCH(MAX(Llama!F26:F28), Llama!F26:F28))</f>
        <v>llama_405b_temp07</v>
      </c>
      <c r="E71" s="52" t="str">
        <f t="array" ref="E71">INDEX(Llama!$C26:$C28, MATCH(MAX(Llama!G26:G28), Llama!G26:G28))</f>
        <v>llama_405b_temp07</v>
      </c>
      <c r="F71" s="52" t="str">
        <f t="array" ref="F71">INDEX(Llama!$C26:$C28, MATCH(MAX(Llama!H26:H28), Llama!H26:H28))</f>
        <v>llama_405b_temp07</v>
      </c>
      <c r="G71" s="52" t="str">
        <f t="array" ref="G71">INDEX(Llama!$C26:$C28, MATCH(MAX(Llama!I26:I28), Llama!I26:I28))</f>
        <v>llama_405b_temp07</v>
      </c>
      <c r="H71" s="52" t="str">
        <f t="array" ref="H71">INDEX(Llama!$C26:$C28, MATCH(MAX(Llama!J26:J28), Llama!J26:J28))</f>
        <v>llama_405b_temp07</v>
      </c>
      <c r="I71" s="52" t="str">
        <f t="array" ref="I71">INDEX(Llama!$C26:$C28, MATCH(MAX(Llama!K26:K28), Llama!K26:K28))</f>
        <v>llama_405b_temp07</v>
      </c>
      <c r="J71" s="52" t="str">
        <f t="array" ref="J71">INDEX(Llama!$C26:$C28, MATCH(MAX(Llama!L26:L28), Llama!L26:L28))</f>
        <v>llama_405b_temp07</v>
      </c>
      <c r="K71" s="52" t="str">
        <f t="array" ref="K71">INDEX(Llama!$C26:$C28, MATCH(MAX(Llama!M26:M28), Llama!M26:M28))</f>
        <v>llama_405b_temp07</v>
      </c>
      <c r="L71" s="52" t="str">
        <f t="array" ref="L71">INDEX(Llama!$C26:$C28, MATCH(MAX(Llama!N26:N28), Llama!N26:N28))</f>
        <v>llama_405b_temp07</v>
      </c>
      <c r="M71" s="52" t="str">
        <f t="array" ref="M71">INDEX(Llama!$C26:$C28, MATCH(MAX(Llama!O26:O28), Llama!O26:O28))</f>
        <v>llama_405b_temp07</v>
      </c>
    </row>
    <row r="72" ht="15.75" customHeight="1">
      <c r="A72" s="51" t="s">
        <v>115</v>
      </c>
      <c r="B72" s="52" t="str">
        <f t="array" ref="B72">INDEX(Llama!$C29:$C31, MATCH(MAX(Llama!D29:D31),Llama!D29:D31))</f>
        <v>llama_8b_temp07</v>
      </c>
      <c r="C72" s="52" t="str">
        <f t="array" ref="C72">INDEX(Llama!$C29:$C31, MATCH(MAX(Llama!E29:E31),Llama!E29:E31))</f>
        <v>llama_8b_temp07</v>
      </c>
      <c r="D72" s="52" t="str">
        <f t="array" ref="D72">INDEX(Llama!$C29:$C31, MATCH(MAX(Llama!F29:F31),Llama!F29:F31))</f>
        <v>llama_8b_temp07</v>
      </c>
      <c r="E72" s="52" t="str">
        <f t="array" ref="E72">INDEX(Llama!$C29:$C31, MATCH(MAX(Llama!G29:G31),Llama!G29:G31))</f>
        <v>llama_8b_temp07</v>
      </c>
      <c r="F72" s="52" t="str">
        <f t="array" ref="F72">INDEX(Llama!$C29:$C31, MATCH(MAX(Llama!H29:H31),Llama!H29:H31))</f>
        <v>llama_8b_temp07</v>
      </c>
      <c r="G72" s="52" t="str">
        <f t="array" ref="G72">INDEX(Llama!$C29:$C31, MATCH(MAX(Llama!I29:I31),Llama!I29:I31))</f>
        <v>llama_8b_temp07</v>
      </c>
      <c r="H72" s="52" t="str">
        <f t="array" ref="H72">INDEX(Llama!$C29:$C31, MATCH(MAX(Llama!J29:J31),Llama!J29:J31))</f>
        <v>llama_8b_temp07</v>
      </c>
      <c r="I72" s="52" t="str">
        <f t="array" ref="I72">INDEX(Llama!$C29:$C31, MATCH(MAX(Llama!K29:K31),Llama!K29:K31))</f>
        <v>llama_8b_temp07</v>
      </c>
      <c r="J72" s="52" t="str">
        <f t="array" ref="J72">INDEX(Llama!$C29:$C31, MATCH(MAX(Llama!L29:L31),Llama!L29:L31))</f>
        <v>llama_8b_temp07</v>
      </c>
      <c r="K72" s="52" t="str">
        <f t="array" ref="K72">INDEX(Llama!$C29:$C31, MATCH(MAX(Llama!M29:M31),Llama!M29:M31))</f>
        <v>llama_8b_temp07</v>
      </c>
      <c r="L72" s="52" t="str">
        <f t="array" ref="L72">INDEX(Llama!$C29:$C31, MATCH(MAX(Llama!N29:N31),Llama!N29:N31))</f>
        <v>llama_8b_temp07</v>
      </c>
      <c r="M72" s="52" t="str">
        <f t="array" ref="M72">INDEX(Llama!$C29:$C31, MATCH(MAX(Llama!O29:O31),Llama!O29:O31))</f>
        <v>llama_8b_temp07</v>
      </c>
    </row>
    <row r="73" ht="15.75" customHeight="1">
      <c r="A73" s="51" t="s">
        <v>116</v>
      </c>
      <c r="B73" s="52" t="str">
        <f t="array" ref="B73">INDEX(Mixtral!$C26:$C28, MATCH(MAX(Mixtral!D26:D28), Mixtral!D26:D28))</f>
        <v>mixtral_8x22b_temp07</v>
      </c>
      <c r="C73" s="52" t="str">
        <f t="array" ref="C73">INDEX(Mixtral!$C26:$C28, MATCH(MAX(Mixtral!E26:E28), Mixtral!E26:E28))</f>
        <v>mixtral_8x22b_temp07</v>
      </c>
      <c r="D73" s="52" t="str">
        <f t="array" ref="D73">INDEX(Mixtral!$C26:$C28, MATCH(MAX(Mixtral!F26:F28), Mixtral!F26:F28))</f>
        <v>mixtral_8x22b_temp07</v>
      </c>
      <c r="E73" s="52" t="str">
        <f t="array" ref="E73">INDEX(Mixtral!$C26:$C28, MATCH(MAX(Mixtral!G26:G28), Mixtral!G26:G28))</f>
        <v>mixtral_8x22b_temp07</v>
      </c>
      <c r="F73" s="52" t="str">
        <f t="array" ref="F73">INDEX(Mixtral!$C26:$C28, MATCH(MAX(Mixtral!H26:H28), Mixtral!H26:H28))</f>
        <v>mixtral_8x22b_temp07</v>
      </c>
      <c r="G73" s="52" t="str">
        <f t="array" ref="G73">INDEX(Mixtral!$C26:$C28, MATCH(MAX(Mixtral!I26:I28), Mixtral!I26:I28))</f>
        <v>mixtral_8x22b_temp07</v>
      </c>
      <c r="H73" s="52" t="str">
        <f t="array" ref="H73">INDEX(Mixtral!$C26:$C28, MATCH(MAX(Mixtral!J26:J28), Mixtral!J26:J28))</f>
        <v>mixtral_8x22b_temp07</v>
      </c>
      <c r="I73" s="52" t="str">
        <f t="array" ref="I73">INDEX(Mixtral!$C26:$C28, MATCH(MAX(Mixtral!K26:K28), Mixtral!K26:K28))</f>
        <v>mixtral_8x22b_temp07</v>
      </c>
      <c r="J73" s="52" t="str">
        <f t="array" ref="J73">INDEX(Mixtral!$C26:$C28, MATCH(MAX(Mixtral!L26:L28), Mixtral!L26:L28))</f>
        <v>mixtral_8x22b_temp07</v>
      </c>
      <c r="K73" s="52" t="str">
        <f t="array" ref="K73">INDEX(Mixtral!$C26:$C28, MATCH(MAX(Mixtral!M26:M28), Mixtral!M26:M28))</f>
        <v>mixtral_8x22b_temp07</v>
      </c>
      <c r="L73" s="52" t="str">
        <f t="array" ref="L73">INDEX(Mixtral!$C26:$C28, MATCH(MAX(Mixtral!N26:N28), Mixtral!N26:N28))</f>
        <v>mixtral_8x22b_temp07</v>
      </c>
      <c r="M73" s="52" t="str">
        <f t="array" ref="M73">INDEX(Mixtral!$C26:$C28, MATCH(MAX(Mixtral!O26:O28), Mixtral!O26:O28))</f>
        <v>mixtral_8x22b_temp07</v>
      </c>
    </row>
    <row r="74" ht="15.75" customHeight="1">
      <c r="A74" s="51" t="s">
        <v>117</v>
      </c>
      <c r="B74" s="52" t="str">
        <f t="array" ref="B74">INDEX(Mixtral!$C29:$C31, MATCH(MAX(Mixtral!D29:D31),Mixtral!D29:D31))</f>
        <v>mixtral_8x7b_temp07</v>
      </c>
      <c r="C74" s="52" t="str">
        <f t="array" ref="C74">INDEX(Mixtral!$C29:$C31, MATCH(MAX(Mixtral!E29:E31),Mixtral!E29:E31))</f>
        <v>mixtral_8x7b_temp07</v>
      </c>
      <c r="D74" s="52" t="str">
        <f t="array" ref="D74">INDEX(Mixtral!$C29:$C31, MATCH(MAX(Mixtral!F29:F31),Mixtral!F29:F31))</f>
        <v>mixtral_8x7b_temp07</v>
      </c>
      <c r="E74" s="52" t="str">
        <f t="array" ref="E74">INDEX(Mixtral!$C29:$C31, MATCH(MAX(Mixtral!G29:G31),Mixtral!G29:G31))</f>
        <v>mixtral_8x7b_temp07</v>
      </c>
      <c r="F74" s="52" t="str">
        <f t="array" ref="F74">INDEX(Mixtral!$C29:$C31, MATCH(MAX(Mixtral!H29:H31),Mixtral!H29:H31))</f>
        <v>mixtral_8x7b_temp07</v>
      </c>
      <c r="G74" s="52" t="str">
        <f t="array" ref="G74">INDEX(Mixtral!$C29:$C31, MATCH(MAX(Mixtral!I29:I31),Mixtral!I29:I31))</f>
        <v>mixtral_8x7b_temp07</v>
      </c>
      <c r="H74" s="52" t="str">
        <f t="array" ref="H74">INDEX(Mixtral!$C29:$C31, MATCH(MAX(Mixtral!J29:J31),Mixtral!J29:J31))</f>
        <v>mixtral_8x7b_temp07</v>
      </c>
      <c r="I74" s="52" t="str">
        <f t="array" ref="I74">INDEX(Mixtral!$C29:$C31, MATCH(MAX(Mixtral!K29:K31),Mixtral!K29:K31))</f>
        <v>mixtral_8x7b_temp07</v>
      </c>
      <c r="J74" s="52" t="str">
        <f t="array" ref="J74">INDEX(Mixtral!$C29:$C31, MATCH(MAX(Mixtral!L29:L31),Mixtral!L29:L31))</f>
        <v>mixtral_8x7b_temp07</v>
      </c>
      <c r="K74" s="52" t="str">
        <f t="array" ref="K74">INDEX(Mixtral!$C29:$C31, MATCH(MAX(Mixtral!M29:M31),Mixtral!M29:M31))</f>
        <v>mixtral_8x7b_temp07</v>
      </c>
      <c r="L74" s="52" t="str">
        <f t="array" ref="L74">INDEX(Mixtral!$C29:$C31, MATCH(MAX(Mixtral!N29:N31),Mixtral!N29:N31))</f>
        <v>mixtral_8x7b_temp07</v>
      </c>
      <c r="M74" s="52" t="str">
        <f t="array" ref="M74">INDEX(Mixtral!$C29:$C31, MATCH(MAX(Mixtral!O29:O31),Mixtral!O29:O31))</f>
        <v>mixtral_8x7b_temp07</v>
      </c>
    </row>
    <row r="75" ht="15.75" customHeight="1">
      <c r="A75" s="51" t="s">
        <v>118</v>
      </c>
      <c r="B75" s="52" t="str">
        <f t="array" ref="B75">INDEX(Phi!$C26:$C28, MATCH(MAX(Phi!D26:D28), Phi!D26:D28))</f>
        <v>phi_3.5_vision_temp07</v>
      </c>
      <c r="C75" s="52" t="str">
        <f t="array" ref="C75">INDEX(Phi!$C26:$C28, MATCH(MAX(Phi!E26:E28), Phi!E26:E28))</f>
        <v>phi_3.5_vision_temp07</v>
      </c>
      <c r="D75" s="52" t="str">
        <f t="array" ref="D75">INDEX(Phi!$C26:$C28, MATCH(MAX(Phi!F26:F28), Phi!F26:F28))</f>
        <v>phi_3.5_vision_temp07</v>
      </c>
      <c r="E75" s="52" t="str">
        <f t="array" ref="E75">INDEX(Phi!$C26:$C28, MATCH(MAX(Phi!G26:G28), Phi!G26:G28))</f>
        <v>phi_3.5_vision_temp07</v>
      </c>
      <c r="F75" s="52" t="str">
        <f t="array" ref="F75">INDEX(Phi!$C26:$C28, MATCH(MAX(Phi!H26:H28), Phi!H26:H28))</f>
        <v>phi_3.5_vision_temp07</v>
      </c>
      <c r="G75" s="52" t="str">
        <f t="array" ref="G75">INDEX(Phi!$C26:$C28, MATCH(MAX(Phi!I26:I28), Phi!I26:I28))</f>
        <v>phi_3.5_vision_temp07</v>
      </c>
      <c r="H75" s="52" t="str">
        <f t="array" ref="H75">INDEX(Phi!$C26:$C28, MATCH(MAX(Phi!J26:J28), Phi!J26:J28))</f>
        <v>phi_3.5_vision_temp07</v>
      </c>
      <c r="I75" s="52" t="str">
        <f t="array" ref="I75">INDEX(Phi!$C26:$C28, MATCH(MAX(Phi!K26:K28), Phi!K26:K28))</f>
        <v>phi_3.5_vision_temp07</v>
      </c>
      <c r="J75" s="52" t="str">
        <f t="array" ref="J75">INDEX(Phi!$C26:$C28, MATCH(MAX(Phi!L26:L28), Phi!L26:L28))</f>
        <v>phi_3.5_vision_temp07</v>
      </c>
      <c r="K75" s="52" t="str">
        <f t="array" ref="K75">INDEX(Phi!$C26:$C28, MATCH(MAX(Phi!M26:M28), Phi!M26:M28))</f>
        <v>phi_3.5_vision_temp07</v>
      </c>
      <c r="L75" s="52" t="str">
        <f t="array" ref="L75">INDEX(Phi!$C26:$C28, MATCH(MAX(Phi!N26:N28), Phi!N26:N28))</f>
        <v>phi_3.5_vision_temp07</v>
      </c>
      <c r="M75" s="52" t="str">
        <f t="array" ref="M75">INDEX(Phi!$C26:$C28, MATCH(MAX(Phi!O26:O28), Phi!O26:O28))</f>
        <v>phi_3.5_vision_temp07</v>
      </c>
    </row>
    <row r="76" ht="15.75" customHeight="1">
      <c r="A76" s="51" t="s">
        <v>119</v>
      </c>
      <c r="B76" s="52" t="str">
        <f t="array" ref="B76">INDEX(Phi!$C29:$C31, MATCH(MAX(Phi!D29:D31),Phi!D29:D31))</f>
        <v>phi_3_mini_temp07</v>
      </c>
      <c r="C76" s="52" t="str">
        <f t="array" ref="C76">INDEX(Phi!$C29:$C31, MATCH(MAX(Phi!E29:E31),Phi!E29:E31))</f>
        <v>phi_3_mini_temp07</v>
      </c>
      <c r="D76" s="52" t="str">
        <f t="array" ref="D76">INDEX(Phi!$C29:$C31, MATCH(MAX(Phi!F29:F31),Phi!F29:F31))</f>
        <v>phi_3_mini_temp07</v>
      </c>
      <c r="E76" s="52" t="str">
        <f t="array" ref="E76">INDEX(Phi!$C29:$C31, MATCH(MAX(Phi!G29:G31),Phi!G29:G31))</f>
        <v>phi_3_mini_temp07</v>
      </c>
      <c r="F76" s="52" t="str">
        <f t="array" ref="F76">INDEX(Phi!$C29:$C31, MATCH(MAX(Phi!H29:H31),Phi!H29:H31))</f>
        <v>phi_3_mini_temp07</v>
      </c>
      <c r="G76" s="52" t="str">
        <f t="array" ref="G76">INDEX(Phi!$C29:$C31, MATCH(MAX(Phi!I29:I31),Phi!I29:I31))</f>
        <v>phi_3_mini_temp07</v>
      </c>
      <c r="H76" s="52" t="str">
        <f t="array" ref="H76">INDEX(Phi!$C29:$C31, MATCH(MAX(Phi!J29:J31),Phi!J29:J31))</f>
        <v>phi_3_mini_temp07</v>
      </c>
      <c r="I76" s="52" t="str">
        <f t="array" ref="I76">INDEX(Phi!$C29:$C31, MATCH(MAX(Phi!K29:K31),Phi!K29:K31))</f>
        <v>phi_3_mini_temp07</v>
      </c>
      <c r="J76" s="52" t="str">
        <f t="array" ref="J76">INDEX(Phi!$C29:$C31, MATCH(MAX(Phi!L29:L31),Phi!L29:L31))</f>
        <v>phi_3_mini_temp07</v>
      </c>
      <c r="K76" s="52" t="str">
        <f t="array" ref="K76">INDEX(Phi!$C29:$C31, MATCH(MAX(Phi!M29:M31),Phi!M29:M31))</f>
        <v>phi_3_mini_temp07</v>
      </c>
      <c r="L76" s="52" t="str">
        <f t="array" ref="L76">INDEX(Phi!$C29:$C31, MATCH(MAX(Phi!N29:N31),Phi!N29:N31))</f>
        <v>phi_3_mini_temp07</v>
      </c>
      <c r="M76" s="52" t="str">
        <f t="array" ref="M76">INDEX(Phi!$C29:$C31, MATCH(MAX(Phi!O29:O31),Phi!O29:O31))</f>
        <v>phi_3_mini_temp07</v>
      </c>
    </row>
    <row r="77" ht="15.75" customHeight="1">
      <c r="A77" s="51" t="s">
        <v>120</v>
      </c>
      <c r="B77" s="52" t="str">
        <f t="array" ref="B77">INDEX(Qwen!$C26:$C28, MATCH(MAX(Qwen!D26:D28), Qwen!D26:D28))</f>
        <v>qwen2_72b_temp07</v>
      </c>
      <c r="C77" s="52" t="str">
        <f t="array" ref="C77">INDEX(Qwen!$C26:$C28, MATCH(MAX(Qwen!E26:E28), Qwen!E26:E28))</f>
        <v>qwen2_72b_temp07</v>
      </c>
      <c r="D77" s="52" t="str">
        <f t="array" ref="D77">INDEX(Qwen!$C26:$C28, MATCH(MAX(Qwen!F26:F28), Qwen!F26:F28))</f>
        <v>qwen2_72b_temp07</v>
      </c>
      <c r="E77" s="52" t="str">
        <f t="array" ref="E77">INDEX(Qwen!$C26:$C28, MATCH(MAX(Qwen!G26:G28), Qwen!G26:G28))</f>
        <v>qwen2_72b_temp07</v>
      </c>
      <c r="F77" s="52" t="str">
        <f t="array" ref="F77">INDEX(Qwen!$C26:$C28, MATCH(MAX(Qwen!H26:H28), Qwen!H26:H28))</f>
        <v>qwen2_72b_temp07</v>
      </c>
      <c r="G77" s="52" t="str">
        <f t="array" ref="G77">INDEX(Qwen!$C26:$C28, MATCH(MAX(Qwen!I26:I28), Qwen!I26:I28))</f>
        <v>qwen2_72b_temp07</v>
      </c>
      <c r="H77" s="52" t="str">
        <f t="array" ref="H77">INDEX(Qwen!$C26:$C28, MATCH(MAX(Qwen!J26:J28), Qwen!J26:J28))</f>
        <v>qwen2_72b_temp07</v>
      </c>
      <c r="I77" s="52" t="str">
        <f t="array" ref="I77">INDEX(Qwen!$C26:$C28, MATCH(MAX(Qwen!K26:K28), Qwen!K26:K28))</f>
        <v>qwen2_72b_temp07</v>
      </c>
      <c r="J77" s="52" t="str">
        <f t="array" ref="J77">INDEX(Qwen!$C26:$C28, MATCH(MAX(Qwen!L26:L28), Qwen!L26:L28))</f>
        <v>qwen2_72b_temp07</v>
      </c>
      <c r="K77" s="52" t="str">
        <f t="array" ref="K77">INDEX(Qwen!$C26:$C28, MATCH(MAX(Qwen!M26:M28), Qwen!M26:M28))</f>
        <v>qwen2_72b_temp07</v>
      </c>
      <c r="L77" s="52" t="str">
        <f t="array" ref="L77">INDEX(Qwen!$C26:$C28, MATCH(MAX(Qwen!N26:N28), Qwen!N26:N28))</f>
        <v>qwen2_72b_temp07</v>
      </c>
      <c r="M77" s="52" t="str">
        <f t="array" ref="M77">INDEX(Qwen!$C26:$C28, MATCH(MAX(Qwen!O26:O28), Qwen!O26:O28))</f>
        <v>qwen2_72b_temp07</v>
      </c>
    </row>
    <row r="78" ht="15.75" customHeight="1">
      <c r="A78" s="51" t="s">
        <v>121</v>
      </c>
      <c r="B78" s="52" t="str">
        <f t="array" ref="B78">INDEX(Qwen!$C29:$C31, MATCH(MAX(Qwen!D29:D31),Qwen!D29:D31))</f>
        <v>qwen2_7b_temp07</v>
      </c>
      <c r="C78" s="52" t="str">
        <f t="array" ref="C78">INDEX(Qwen!$C29:$C31, MATCH(MAX(Qwen!E29:E31),Qwen!E29:E31))</f>
        <v>qwen2_7b_temp07</v>
      </c>
      <c r="D78" s="52" t="str">
        <f t="array" ref="D78">INDEX(Qwen!$C29:$C31, MATCH(MAX(Qwen!F29:F31),Qwen!F29:F31))</f>
        <v>qwen2_7b_temp07</v>
      </c>
      <c r="E78" s="52" t="str">
        <f t="array" ref="E78">INDEX(Qwen!$C29:$C31, MATCH(MAX(Qwen!G29:G31),Qwen!G29:G31))</f>
        <v>qwen2_7b_temp07</v>
      </c>
      <c r="F78" s="52" t="str">
        <f t="array" ref="F78">INDEX(Qwen!$C29:$C31, MATCH(MAX(Qwen!H29:H31),Qwen!H29:H31))</f>
        <v>qwen2_7b_temp07</v>
      </c>
      <c r="G78" s="52" t="str">
        <f t="array" ref="G78">INDEX(Qwen!$C29:$C31, MATCH(MAX(Qwen!I29:I31),Qwen!I29:I31))</f>
        <v>qwen2_7b_temp07</v>
      </c>
      <c r="H78" s="52" t="str">
        <f t="array" ref="H78">INDEX(Qwen!$C29:$C31, MATCH(MAX(Qwen!J29:J31),Qwen!J29:J31))</f>
        <v>qwen2_7b_temp07</v>
      </c>
      <c r="I78" s="52" t="str">
        <f t="array" ref="I78">INDEX(Qwen!$C29:$C31, MATCH(MAX(Qwen!K29:K31),Qwen!K29:K31))</f>
        <v>qwen2_7b_temp07</v>
      </c>
      <c r="J78" s="52" t="str">
        <f t="array" ref="J78">INDEX(Qwen!$C29:$C31, MATCH(MAX(Qwen!L29:L31),Qwen!L29:L31))</f>
        <v>qwen2_7b_temp07</v>
      </c>
      <c r="K78" s="52" t="str">
        <f t="array" ref="K78">INDEX(Qwen!$C29:$C31, MATCH(MAX(Qwen!M29:M31),Qwen!M29:M31))</f>
        <v>qwen2_7b_temp07</v>
      </c>
      <c r="L78" s="52" t="str">
        <f t="array" ref="L78">INDEX(Qwen!$C29:$C31, MATCH(MAX(Qwen!N29:N31),Qwen!N29:N31))</f>
        <v>qwen2_7b_temp07</v>
      </c>
      <c r="M78" s="52" t="str">
        <f t="array" ref="M78">INDEX(Qwen!$C29:$C31, MATCH(MAX(Qwen!O29:O31),Qwen!O29:O31))</f>
        <v>qwen2_7b_temp07</v>
      </c>
    </row>
    <row r="79" ht="15.75" customHeight="1">
      <c r="A79" s="51" t="s">
        <v>122</v>
      </c>
      <c r="B79" s="52" t="str">
        <f t="array" ref="B79">INDEX(Sabia!$C14:$C16, MATCH(MAX(Sabia!D14:D16), Sabia!D14:D16, 0))</f>
        <v>sabia3_temp07</v>
      </c>
      <c r="C79" s="52" t="str">
        <f t="array" ref="C79">INDEX(Sabia!$C14:$C16, MATCH(MAX(Sabia!E14:E16), Sabia!E14:E16, 0))</f>
        <v>sabia3_temp03</v>
      </c>
      <c r="D79" s="52" t="str">
        <f t="array" ref="D79">INDEX(Sabia!$C14:$C16, MATCH(MAX(Sabia!F14:F16), Sabia!F14:F16, 0))</f>
        <v>sabia3_temp05</v>
      </c>
      <c r="E79" s="52" t="str">
        <f t="array" ref="E79">INDEX(Sabia!$C14:$C16, MATCH(MAX(Sabia!G14:G16), Sabia!G14:G16, 0))</f>
        <v>sabia3_temp03</v>
      </c>
      <c r="F79" s="52" t="str">
        <f t="array" ref="F79">INDEX(Sabia!$C14:$C16, MATCH(MAX(Sabia!H14:H16), Sabia!H14:H16, 0))</f>
        <v>sabia3_temp05</v>
      </c>
      <c r="G79" s="52" t="str">
        <f t="array" ref="G79">INDEX(Sabia!$C14:$C16, MATCH(MAX(Sabia!I14:I16), Sabia!I14:I16, 0))</f>
        <v>sabia3_temp07</v>
      </c>
      <c r="H79" s="52" t="str">
        <f t="array" ref="H79">INDEX(Sabia!$C14:$C16, MATCH(MAX(Sabia!J14:J16), Sabia!J14:J16, 0))</f>
        <v>sabia3_temp03</v>
      </c>
      <c r="I79" s="52" t="str">
        <f t="array" ref="I79">INDEX(Sabia!$C14:$C16, MATCH(MAX(Sabia!K14:K16), Sabia!K14:K16, 0))</f>
        <v>sabia3_temp07</v>
      </c>
      <c r="J79" s="52" t="str">
        <f t="array" ref="J79">INDEX(Sabia!$C14:$C16, MATCH(MAX(Sabia!L14:L16), Sabia!L14:L16, 0))</f>
        <v>sabia3_temp03</v>
      </c>
      <c r="K79" s="52" t="str">
        <f t="array" ref="K79">INDEX(Sabia!$C14:$C16, MATCH(MAX(Sabia!M14:M16), Sabia!M14:M16, 0))</f>
        <v>sabia3_temp03</v>
      </c>
      <c r="L79" s="52" t="str">
        <f t="array" ref="L79">INDEX(Sabia!$C14:$C16, MATCH(MAX(Sabia!N14:N16), Sabia!N14:N16, 0))</f>
        <v>sabia3_temp03</v>
      </c>
      <c r="M79" s="52" t="str">
        <f t="array" ref="M79">INDEX(Sabia!$C14:$C16, MATCH(MAX(Sabia!O14:O16), Sabia!O14:O16, 0))</f>
        <v>sabia3_temp03</v>
      </c>
    </row>
    <row r="80" ht="15.75" customHeight="1"/>
    <row r="81" ht="15.75" customHeight="1">
      <c r="B81" s="13" t="s">
        <v>94</v>
      </c>
    </row>
    <row r="82" ht="15.75" customHeight="1">
      <c r="B82" s="50" t="s">
        <v>3</v>
      </c>
      <c r="C82" s="50" t="s">
        <v>4</v>
      </c>
      <c r="D82" s="50" t="s">
        <v>5</v>
      </c>
      <c r="E82" s="50" t="s">
        <v>6</v>
      </c>
      <c r="F82" s="50" t="s">
        <v>7</v>
      </c>
      <c r="G82" s="50" t="s">
        <v>8</v>
      </c>
      <c r="H82" s="50" t="s">
        <v>9</v>
      </c>
      <c r="I82" s="50" t="s">
        <v>10</v>
      </c>
      <c r="J82" s="50" t="s">
        <v>11</v>
      </c>
      <c r="K82" s="50" t="s">
        <v>12</v>
      </c>
      <c r="L82" s="50" t="s">
        <v>13</v>
      </c>
      <c r="M82" s="50" t="s">
        <v>14</v>
      </c>
    </row>
    <row r="83" ht="15.75" customHeight="1">
      <c r="A83" s="51" t="s">
        <v>110</v>
      </c>
      <c r="B83" s="52" t="str">
        <f t="array" ref="B83">INDEX(Command!$C17:$C19, MATCH(MAX(Command!D17:D19), Command!D17:D19, 0))</f>
        <v>command_r_plus_08_2024_temp05</v>
      </c>
      <c r="C83" s="52" t="str">
        <f t="array" ref="C83">INDEX(Command!$C17:$C19, MATCH(MAX(Command!E17:E19), Command!E17:E19, 0))</f>
        <v>command_r_plus_08_2024_temp07</v>
      </c>
      <c r="D83" s="52" t="str">
        <f t="array" ref="D83">INDEX(Command!$C17:$C19, MATCH(MAX(Command!F17:F19), Command!F17:F19, 0))</f>
        <v>command_r_plus_08_2024_temp05</v>
      </c>
      <c r="E83" s="52" t="str">
        <f t="array" ref="E83">INDEX(Command!$C17:$C19, MATCH(MAX(Command!G17:G19), Command!G17:G19, 0))</f>
        <v>command_r_plus_08_2024_temp07</v>
      </c>
      <c r="F83" s="52" t="str">
        <f t="array" ref="F83">INDEX(Command!$C17:$C19, MATCH(MAX(Command!H17:H19), Command!H17:H19, 0))</f>
        <v>command_r_plus_08_2024_temp05</v>
      </c>
      <c r="G83" s="52" t="str">
        <f t="array" ref="G83">INDEX(Command!$C17:$C19, MATCH(MAX(Command!I17:I19), Command!I17:I19, 0))</f>
        <v>command_r_plus_08_2024_temp05</v>
      </c>
      <c r="H83" s="52" t="str">
        <f t="array" ref="H83">INDEX(Command!$C17:$C19, MATCH(MAX(Command!J17:J19), Command!J17:J19, 0))</f>
        <v>command_r_plus_08_2024_temp07</v>
      </c>
      <c r="I83" s="52" t="str">
        <f t="array" ref="I83">INDEX(Command!$C17:$C19, MATCH(MAX(Command!K17:K19), Command!K17:K19, 0))</f>
        <v>command_r_plus_08_2024_temp03</v>
      </c>
      <c r="J83" s="52" t="str">
        <f t="array" ref="J83">INDEX(Command!$C17:$C19, MATCH(MAX(Command!L17:L19), Command!L17:L19, 0))</f>
        <v>command_r_plus_08_2024_temp03</v>
      </c>
      <c r="K83" s="52" t="str">
        <f t="array" ref="K83">INDEX(Command!$C17:$C19, MATCH(MAX(Command!M17:M19), Command!M17:M19, 0))</f>
        <v>command_r_plus_08_2024_temp03</v>
      </c>
      <c r="L83" s="52" t="str">
        <f t="array" ref="L83">INDEX(Command!$C17:$C19, MATCH(MAX(Command!N17:N19), Command!N17:N19, 0))</f>
        <v>command_r_plus_08_2024_temp03</v>
      </c>
      <c r="M83" s="52" t="str">
        <f t="array" ref="M83">INDEX(Command!$C17:$C19, MATCH(MAX(Command!O17:O19), Command!O17:O19, 0))</f>
        <v>command_r_plus_08_2024_temp03</v>
      </c>
    </row>
    <row r="84" ht="15.75" customHeight="1">
      <c r="A84" s="51" t="s">
        <v>111</v>
      </c>
      <c r="B84" s="52" t="str">
        <f t="array" ref="B84">INDEX(Gemma!$C32:$C34, MATCH(MAX(Gemma!D32:D34), Gemma!D32:D34))</f>
        <v>gemma_27b_temp07</v>
      </c>
      <c r="C84" s="52" t="str">
        <f t="array" ref="C84">INDEX(Gemma!$C32:$C34, MATCH(MAX(Gemma!E32:E34), Gemma!E32:E34))</f>
        <v>gemma_27b_temp07</v>
      </c>
      <c r="D84" s="52" t="str">
        <f t="array" ref="D84">INDEX(Gemma!$C32:$C34, MATCH(MAX(Gemma!F32:F34), Gemma!F32:F34))</f>
        <v>gemma_27b_temp07</v>
      </c>
      <c r="E84" s="52" t="str">
        <f t="array" ref="E84">INDEX(Gemma!$C32:$C34, MATCH(MAX(Gemma!G32:G34), Gemma!G32:G34))</f>
        <v>gemma_27b_temp07</v>
      </c>
      <c r="F84" s="52" t="str">
        <f t="array" ref="F84">INDEX(Gemma!$C32:$C34, MATCH(MAX(Gemma!H32:H34), Gemma!H32:H34))</f>
        <v>gemma_27b_temp07</v>
      </c>
      <c r="G84" s="52" t="str">
        <f t="array" ref="G84">INDEX(Gemma!$C32:$C34, MATCH(MAX(Gemma!I32:I34), Gemma!I32:I34))</f>
        <v>gemma_27b_temp07</v>
      </c>
      <c r="H84" s="52" t="str">
        <f t="array" ref="H84">INDEX(Gemma!$C32:$C34, MATCH(MAX(Gemma!J32:J34), Gemma!J32:J34))</f>
        <v>gemma_27b_temp07</v>
      </c>
      <c r="I84" s="52" t="str">
        <f t="array" ref="I84">INDEX(Gemma!$C32:$C34, MATCH(MAX(Gemma!K32:K34), Gemma!K32:K34))</f>
        <v>gemma_27b_temp07</v>
      </c>
      <c r="J84" s="52" t="str">
        <f t="array" ref="J84">INDEX(Gemma!$C32:$C34, MATCH(MAX(Gemma!L32:L34), Gemma!L32:L34))</f>
        <v>gemma_27b_temp07</v>
      </c>
      <c r="K84" s="52" t="str">
        <f t="array" ref="K84">INDEX(Gemma!$C32:$C34, MATCH(MAX(Gemma!M32:M34), Gemma!M32:M34))</f>
        <v>gemma_27b_temp07</v>
      </c>
      <c r="L84" s="52" t="str">
        <f t="array" ref="L84">INDEX(Gemma!$C32:$C34, MATCH(MAX(Gemma!N32:N34), Gemma!N32:N34))</f>
        <v>gemma_27b_temp07</v>
      </c>
      <c r="M84" s="52" t="str">
        <f t="array" ref="M84">INDEX(Gemma!$C32:$C34, MATCH(MAX(Gemma!O32:O34), Gemma!O32:O34))</f>
        <v>gemma_27b_temp07</v>
      </c>
    </row>
    <row r="85" ht="15.75" customHeight="1">
      <c r="A85" s="51" t="s">
        <v>112</v>
      </c>
      <c r="B85" s="52" t="str">
        <f t="array" ref="B85">INDEX(Gemma!$C35:$C37, MATCH(MAX(Gemma!D35:D37),Gemma!D35:D37))</f>
        <v>gemma_9b_temp07</v>
      </c>
      <c r="C85" s="52" t="str">
        <f t="array" ref="C85">INDEX(Gemma!$C35:$C37, MATCH(MAX(Gemma!E35:E37),Gemma!E35:E37))</f>
        <v>gemma_9b_temp07</v>
      </c>
      <c r="D85" s="52" t="str">
        <f t="array" ref="D85">INDEX(Gemma!$C35:$C37, MATCH(MAX(Gemma!F35:F37),Gemma!F35:F37))</f>
        <v>gemma_9b_temp07</v>
      </c>
      <c r="E85" s="52" t="str">
        <f t="array" ref="E85">INDEX(Gemma!$C35:$C37, MATCH(MAX(Gemma!G35:G37),Gemma!G35:G37))</f>
        <v>gemma_9b_temp07</v>
      </c>
      <c r="F85" s="52" t="str">
        <f t="array" ref="F85">INDEX(Gemma!$C35:$C37, MATCH(MAX(Gemma!H35:H37),Gemma!H35:H37))</f>
        <v>gemma_9b_temp07</v>
      </c>
      <c r="G85" s="52" t="str">
        <f t="array" ref="G85">INDEX(Gemma!$C35:$C37, MATCH(MAX(Gemma!I35:I37),Gemma!I35:I37))</f>
        <v>gemma_9b_temp07</v>
      </c>
      <c r="H85" s="52" t="str">
        <f t="array" ref="H85">INDEX(Gemma!$C35:$C37, MATCH(MAX(Gemma!J35:J37),Gemma!J35:J37))</f>
        <v>gemma_9b_temp07</v>
      </c>
      <c r="I85" s="52" t="str">
        <f t="array" ref="I85">INDEX(Gemma!$C35:$C37, MATCH(MAX(Gemma!K35:K37),Gemma!K35:K37))</f>
        <v>gemma_9b_temp07</v>
      </c>
      <c r="J85" s="52" t="str">
        <f t="array" ref="J85">INDEX(Gemma!$C35:$C37, MATCH(MAX(Gemma!L35:L37),Gemma!L35:L37))</f>
        <v>gemma_9b_temp07</v>
      </c>
      <c r="K85" s="52" t="str">
        <f t="array" ref="K85">INDEX(Gemma!$C35:$C37, MATCH(MAX(Gemma!M35:M37),Gemma!M35:M37))</f>
        <v>gemma_9b_temp07</v>
      </c>
      <c r="L85" s="52" t="str">
        <f t="array" ref="L85">INDEX(Gemma!$C35:$C37, MATCH(MAX(Gemma!N35:N37),Gemma!N35:N37))</f>
        <v>gemma_9b_temp07</v>
      </c>
      <c r="M85" s="52" t="str">
        <f t="array" ref="M85">INDEX(Gemma!$C35:$C37, MATCH(MAX(Gemma!O35:O37),Gemma!O35:O37))</f>
        <v>gemma_9b_temp07</v>
      </c>
    </row>
    <row r="86" ht="15.75" customHeight="1">
      <c r="A86" s="51" t="s">
        <v>113</v>
      </c>
      <c r="B86" s="52" t="str">
        <f t="array" ref="B86">INDEX(GPT!$C:$C, MATCH(MAX(GPT!D17:D19),GPT!D17:D19))</f>
        <v>gpt4o_temp05</v>
      </c>
      <c r="C86" s="52" t="str">
        <f t="array" ref="C86">INDEX(GPT!$C:$C, MATCH(MAX(GPT!E17:E19),GPT!E17:E19))</f>
        <v>gpt4o_temp05</v>
      </c>
      <c r="D86" s="52" t="str">
        <f t="array" ref="D86">INDEX(GPT!$C:$C, MATCH(MAX(GPT!F17:F19),GPT!F17:F19))</f>
        <v>gpt4o_temp05</v>
      </c>
      <c r="E86" s="52" t="str">
        <f t="array" ref="E86">INDEX(GPT!$C:$C, MATCH(MAX(GPT!G17:G19),GPT!G17:G19))</f>
        <v>gpt4o_temp05</v>
      </c>
      <c r="F86" s="52" t="str">
        <f t="array" ref="F86">INDEX(GPT!$C:$C, MATCH(MAX(GPT!H17:H19),GPT!H17:H19))</f>
        <v>gpt4o_temp05</v>
      </c>
      <c r="G86" s="52" t="str">
        <f t="array" ref="G86">INDEX(GPT!$C:$C, MATCH(MAX(GPT!I17:I19),GPT!I17:I19))</f>
        <v>gpt4o_temp05</v>
      </c>
      <c r="H86" s="52" t="str">
        <f t="array" ref="H86">INDEX(GPT!$C:$C, MATCH(MAX(GPT!J17:J19),GPT!J17:J19))</f>
        <v>gpt4o_temp05</v>
      </c>
      <c r="I86" s="52" t="str">
        <f t="array" ref="I86">INDEX(GPT!$C:$C, MATCH(MAX(GPT!K17:K19),GPT!K17:K19))</f>
        <v>gpt4o_temp05</v>
      </c>
      <c r="J86" s="52" t="str">
        <f t="array" ref="J86">INDEX(GPT!$C:$C, MATCH(MAX(GPT!L17:L19),GPT!L17:L19))</f>
        <v>gpt4o_temp05</v>
      </c>
      <c r="K86" s="52" t="str">
        <f t="array" ref="K86">INDEX(GPT!$C:$C, MATCH(MAX(GPT!M17:M19),GPT!M17:M19))</f>
        <v>gpt4o_temp05</v>
      </c>
      <c r="L86" s="52" t="str">
        <f t="array" ref="L86">INDEX(GPT!$C:$C, MATCH(MAX(GPT!N17:N19),GPT!N17:N19))</f>
        <v>gpt4o_temp05</v>
      </c>
      <c r="M86" s="52" t="str">
        <f t="array" ref="M86">INDEX(GPT!$C:$C, MATCH(MAX(GPT!O17:O19),GPT!O17:O19))</f>
        <v>gpt4o_temp05</v>
      </c>
    </row>
    <row r="87" ht="15.75" customHeight="1">
      <c r="A87" s="51" t="s">
        <v>114</v>
      </c>
      <c r="B87" s="52" t="str">
        <f t="array" ref="B87">INDEX(Llama!$C32:$C34, MATCH(MAX(Llama!D32:D34), Llama!D32:D34))</f>
        <v>llama_405b_temp07</v>
      </c>
      <c r="C87" s="52" t="str">
        <f t="array" ref="C87">INDEX(Llama!$C32:$C34, MATCH(MAX(Llama!E32:E34), Llama!E32:E34))</f>
        <v>llama_405b_temp07</v>
      </c>
      <c r="D87" s="52" t="str">
        <f t="array" ref="D87">INDEX(Llama!$C32:$C34, MATCH(MAX(Llama!F32:F34), Llama!F32:F34))</f>
        <v>llama_405b_temp07</v>
      </c>
      <c r="E87" s="52" t="str">
        <f t="array" ref="E87">INDEX(Llama!$C32:$C34, MATCH(MAX(Llama!G32:G34), Llama!G32:G34))</f>
        <v>llama_405b_temp07</v>
      </c>
      <c r="F87" s="52" t="str">
        <f t="array" ref="F87">INDEX(Llama!$C32:$C34, MATCH(MAX(Llama!H32:H34), Llama!H32:H34))</f>
        <v>llama_405b_temp07</v>
      </c>
      <c r="G87" s="52" t="str">
        <f t="array" ref="G87">INDEX(Llama!$C32:$C34, MATCH(MAX(Llama!I32:I34), Llama!I32:I34))</f>
        <v>llama_405b_temp07</v>
      </c>
      <c r="H87" s="52" t="str">
        <f t="array" ref="H87">INDEX(Llama!$C32:$C34, MATCH(MAX(Llama!J32:J34), Llama!J32:J34))</f>
        <v>llama_405b_temp07</v>
      </c>
      <c r="I87" s="52" t="str">
        <f t="array" ref="I87">INDEX(Llama!$C32:$C34, MATCH(MAX(Llama!K32:K34), Llama!K32:K34))</f>
        <v>llama_405b_temp07</v>
      </c>
      <c r="J87" s="52" t="str">
        <f t="array" ref="J87">INDEX(Llama!$C32:$C34, MATCH(MAX(Llama!L32:L34), Llama!L32:L34))</f>
        <v>llama_405b_temp07</v>
      </c>
      <c r="K87" s="52" t="str">
        <f t="array" ref="K87">INDEX(Llama!$C32:$C34, MATCH(MAX(Llama!M32:M34), Llama!M32:M34))</f>
        <v>llama_405b_temp07</v>
      </c>
      <c r="L87" s="52" t="str">
        <f t="array" ref="L87">INDEX(Llama!$C32:$C34, MATCH(MAX(Llama!N32:N34), Llama!N32:N34))</f>
        <v>llama_405b_temp07</v>
      </c>
      <c r="M87" s="52" t="str">
        <f t="array" ref="M87">INDEX(Llama!$C32:$C34, MATCH(MAX(Llama!O32:O34), Llama!O32:O34))</f>
        <v>llama_405b_temp07</v>
      </c>
    </row>
    <row r="88" ht="15.75" customHeight="1">
      <c r="A88" s="51" t="s">
        <v>115</v>
      </c>
      <c r="B88" s="52" t="str">
        <f t="array" ref="B88">INDEX(Llama!$C35:$C37, MATCH(MAX(Llama!D35:D37),Llama!D35:D37))</f>
        <v>llama_8b_temp07</v>
      </c>
      <c r="C88" s="52" t="str">
        <f t="array" ref="C88">INDEX(Llama!$C35:$C37, MATCH(MAX(Llama!E35:E37),Llama!E35:E37))</f>
        <v>llama_8b_temp07</v>
      </c>
      <c r="D88" s="52" t="str">
        <f t="array" ref="D88">INDEX(Llama!$C35:$C37, MATCH(MAX(Llama!F35:F37),Llama!F35:F37))</f>
        <v>llama_8b_temp07</v>
      </c>
      <c r="E88" s="52" t="str">
        <f t="array" ref="E88">INDEX(Llama!$C35:$C37, MATCH(MAX(Llama!G35:G37),Llama!G35:G37))</f>
        <v>llama_8b_temp07</v>
      </c>
      <c r="F88" s="52" t="str">
        <f t="array" ref="F88">INDEX(Llama!$C35:$C37, MATCH(MAX(Llama!H35:H37),Llama!H35:H37))</f>
        <v>llama_8b_temp07</v>
      </c>
      <c r="G88" s="52" t="str">
        <f t="array" ref="G88">INDEX(Llama!$C35:$C37, MATCH(MAX(Llama!I35:I37),Llama!I35:I37))</f>
        <v>llama_8b_temp07</v>
      </c>
      <c r="H88" s="52" t="str">
        <f t="array" ref="H88">INDEX(Llama!$C35:$C37, MATCH(MAX(Llama!J35:J37),Llama!J35:J37))</f>
        <v>llama_8b_temp07</v>
      </c>
      <c r="I88" s="52" t="str">
        <f t="array" ref="I88">INDEX(Llama!$C35:$C37, MATCH(MAX(Llama!K35:K37),Llama!K35:K37))</f>
        <v>llama_8b_temp07</v>
      </c>
      <c r="J88" s="52" t="str">
        <f t="array" ref="J88">INDEX(Llama!$C35:$C37, MATCH(MAX(Llama!L35:L37),Llama!L35:L37))</f>
        <v>llama_8b_temp07</v>
      </c>
      <c r="K88" s="52" t="str">
        <f t="array" ref="K88">INDEX(Llama!$C35:$C37, MATCH(MAX(Llama!M35:M37),Llama!M35:M37))</f>
        <v>llama_8b_temp07</v>
      </c>
      <c r="L88" s="52" t="str">
        <f t="array" ref="L88">INDEX(Llama!$C35:$C37, MATCH(MAX(Llama!N35:N37),Llama!N35:N37))</f>
        <v>llama_8b_temp07</v>
      </c>
      <c r="M88" s="52" t="str">
        <f t="array" ref="M88">INDEX(Llama!$C35:$C37, MATCH(MAX(Llama!O35:O37),Llama!O35:O37))</f>
        <v>llama_8b_temp07</v>
      </c>
    </row>
    <row r="89" ht="15.75" customHeight="1">
      <c r="A89" s="51" t="s">
        <v>116</v>
      </c>
      <c r="B89" s="52" t="str">
        <f t="array" ref="B89">INDEX(Mixtral!$C32:$C34, MATCH(MAX(Mixtral!D32:D34), Mixtral!D32:D34))</f>
        <v>mixtral_8x22b_temp07</v>
      </c>
      <c r="C89" s="52" t="str">
        <f t="array" ref="C89">INDEX(Mixtral!$C32:$C34, MATCH(MAX(Mixtral!E32:E34), Mixtral!E32:E34))</f>
        <v>mixtral_8x22b_temp07</v>
      </c>
      <c r="D89" s="52" t="str">
        <f t="array" ref="D89">INDEX(Mixtral!$C32:$C34, MATCH(MAX(Mixtral!F32:F34), Mixtral!F32:F34))</f>
        <v>mixtral_8x22b_temp07</v>
      </c>
      <c r="E89" s="52" t="str">
        <f t="array" ref="E89">INDEX(Mixtral!$C32:$C34, MATCH(MAX(Mixtral!G32:G34), Mixtral!G32:G34))</f>
        <v>mixtral_8x22b_temp07</v>
      </c>
      <c r="F89" s="52" t="str">
        <f t="array" ref="F89">INDEX(Mixtral!$C32:$C34, MATCH(MAX(Mixtral!H32:H34), Mixtral!H32:H34))</f>
        <v>mixtral_8x22b_temp07</v>
      </c>
      <c r="G89" s="52" t="str">
        <f t="array" ref="G89">INDEX(Mixtral!$C32:$C34, MATCH(MAX(Mixtral!I32:I34), Mixtral!I32:I34))</f>
        <v>mixtral_8x22b_temp07</v>
      </c>
      <c r="H89" s="52" t="str">
        <f t="array" ref="H89">INDEX(Mixtral!$C32:$C34, MATCH(MAX(Mixtral!J32:J34), Mixtral!J32:J34))</f>
        <v>mixtral_8x22b_temp07</v>
      </c>
      <c r="I89" s="52" t="str">
        <f t="array" ref="I89">INDEX(Mixtral!$C32:$C34, MATCH(MAX(Mixtral!K32:K34), Mixtral!K32:K34))</f>
        <v>mixtral_8x22b_temp07</v>
      </c>
      <c r="J89" s="52" t="str">
        <f t="array" ref="J89">INDEX(Mixtral!$C32:$C34, MATCH(MAX(Mixtral!L32:L34), Mixtral!L32:L34))</f>
        <v>mixtral_8x22b_temp07</v>
      </c>
      <c r="K89" s="52" t="str">
        <f t="array" ref="K89">INDEX(Mixtral!$C32:$C34, MATCH(MAX(Mixtral!M32:M34), Mixtral!M32:M34))</f>
        <v>mixtral_8x22b_temp07</v>
      </c>
      <c r="L89" s="52" t="str">
        <f t="array" ref="L89">INDEX(Mixtral!$C32:$C34, MATCH(MAX(Mixtral!N32:N34), Mixtral!N32:N34))</f>
        <v>mixtral_8x22b_temp07</v>
      </c>
      <c r="M89" s="52" t="str">
        <f t="array" ref="M89">INDEX(Mixtral!$C32:$C34, MATCH(MAX(Mixtral!O32:O34), Mixtral!O32:O34))</f>
        <v>mixtral_8x22b_temp07</v>
      </c>
    </row>
    <row r="90" ht="15.75" customHeight="1">
      <c r="A90" s="51" t="s">
        <v>117</v>
      </c>
      <c r="B90" s="52" t="str">
        <f t="array" ref="B90">INDEX(Mixtral!$C35:$C37, MATCH(MAX(Mixtral!D35:D37),Mixtral!D35:D37))</f>
        <v>mixtral_8x7b_temp07</v>
      </c>
      <c r="C90" s="52" t="str">
        <f t="array" ref="C90">INDEX(Mixtral!$C35:$C37, MATCH(MAX(Mixtral!E35:E37),Mixtral!E35:E37))</f>
        <v>mixtral_8x7b_temp07</v>
      </c>
      <c r="D90" s="52" t="str">
        <f t="array" ref="D90">INDEX(Mixtral!$C35:$C37, MATCH(MAX(Mixtral!F35:F37),Mixtral!F35:F37))</f>
        <v>mixtral_8x7b_temp07</v>
      </c>
      <c r="E90" s="52" t="str">
        <f t="array" ref="E90">INDEX(Mixtral!$C35:$C37, MATCH(MAX(Mixtral!G35:G37),Mixtral!G35:G37))</f>
        <v>mixtral_8x7b_temp07</v>
      </c>
      <c r="F90" s="52" t="str">
        <f t="array" ref="F90">INDEX(Mixtral!$C35:$C37, MATCH(MAX(Mixtral!H35:H37),Mixtral!H35:H37))</f>
        <v>mixtral_8x7b_temp07</v>
      </c>
      <c r="G90" s="52" t="str">
        <f t="array" ref="G90">INDEX(Mixtral!$C35:$C37, MATCH(MAX(Mixtral!I35:I37),Mixtral!I35:I37))</f>
        <v>mixtral_8x7b_temp07</v>
      </c>
      <c r="H90" s="52" t="str">
        <f t="array" ref="H90">INDEX(Mixtral!$C35:$C37, MATCH(MAX(Mixtral!J35:J37),Mixtral!J35:J37))</f>
        <v>mixtral_8x7b_temp07</v>
      </c>
      <c r="I90" s="52" t="str">
        <f t="array" ref="I90">INDEX(Mixtral!$C35:$C37, MATCH(MAX(Mixtral!K35:K37),Mixtral!K35:K37))</f>
        <v>mixtral_8x7b_temp07</v>
      </c>
      <c r="J90" s="52" t="str">
        <f t="array" ref="J90">INDEX(Mixtral!$C35:$C37, MATCH(MAX(Mixtral!L35:L37),Mixtral!L35:L37))</f>
        <v>mixtral_8x7b_temp07</v>
      </c>
      <c r="K90" s="52" t="str">
        <f t="array" ref="K90">INDEX(Mixtral!$C35:$C37, MATCH(MAX(Mixtral!M35:M37),Mixtral!M35:M37))</f>
        <v>mixtral_8x7b_temp07</v>
      </c>
      <c r="L90" s="52" t="str">
        <f t="array" ref="L90">INDEX(Mixtral!$C35:$C37, MATCH(MAX(Mixtral!N35:N37),Mixtral!N35:N37))</f>
        <v>mixtral_8x7b_temp07</v>
      </c>
      <c r="M90" s="52" t="str">
        <f t="array" ref="M90">INDEX(Mixtral!$C35:$C37, MATCH(MAX(Mixtral!O35:O37),Mixtral!O35:O37))</f>
        <v>mixtral_8x7b_temp07</v>
      </c>
    </row>
    <row r="91" ht="15.75" customHeight="1">
      <c r="A91" s="51" t="s">
        <v>118</v>
      </c>
      <c r="B91" s="52" t="str">
        <f t="array" ref="B91">INDEX(Phi!$C32:$C34, MATCH(MAX(Phi!D32:D34), Phi!D32:D34))</f>
        <v>phi_3.5_vision_temp07</v>
      </c>
      <c r="C91" s="52" t="str">
        <f t="array" ref="C91">INDEX(Phi!$C32:$C34, MATCH(MAX(Phi!E32:E34), Phi!E32:E34))</f>
        <v>phi_3.5_vision_temp07</v>
      </c>
      <c r="D91" s="52" t="str">
        <f t="array" ref="D91">INDEX(Phi!$C32:$C34, MATCH(MAX(Phi!F32:F34), Phi!F32:F34))</f>
        <v>phi_3.5_vision_temp07</v>
      </c>
      <c r="E91" s="52" t="str">
        <f t="array" ref="E91">INDEX(Phi!$C32:$C34, MATCH(MAX(Phi!G32:G34), Phi!G32:G34))</f>
        <v>phi_3.5_vision_temp07</v>
      </c>
      <c r="F91" s="52" t="str">
        <f t="array" ref="F91">INDEX(Phi!$C32:$C34, MATCH(MAX(Phi!H32:H34), Phi!H32:H34))</f>
        <v>phi_3.5_vision_temp07</v>
      </c>
      <c r="G91" s="52" t="str">
        <f t="array" ref="G91">INDEX(Phi!$C32:$C34, MATCH(MAX(Phi!I32:I34), Phi!I32:I34))</f>
        <v>phi_3.5_vision_temp07</v>
      </c>
      <c r="H91" s="52" t="str">
        <f t="array" ref="H91">INDEX(Phi!$C32:$C34, MATCH(MAX(Phi!J32:J34), Phi!J32:J34))</f>
        <v>phi_3.5_vision_temp07</v>
      </c>
      <c r="I91" s="52" t="str">
        <f t="array" ref="I91">INDEX(Phi!$C32:$C34, MATCH(MAX(Phi!K32:K34), Phi!K32:K34))</f>
        <v>phi_3.5_vision_temp07</v>
      </c>
      <c r="J91" s="52" t="str">
        <f t="array" ref="J91">INDEX(Phi!$C32:$C34, MATCH(MAX(Phi!L32:L34), Phi!L32:L34))</f>
        <v>phi_3.5_vision_temp07</v>
      </c>
      <c r="K91" s="52" t="str">
        <f t="array" ref="K91">INDEX(Phi!$C32:$C34, MATCH(MAX(Phi!M32:M34), Phi!M32:M34))</f>
        <v>phi_3.5_vision_temp07</v>
      </c>
      <c r="L91" s="52" t="str">
        <f t="array" ref="L91">INDEX(Phi!$C32:$C34, MATCH(MAX(Phi!N32:N34), Phi!N32:N34))</f>
        <v>phi_3.5_vision_temp07</v>
      </c>
      <c r="M91" s="52" t="str">
        <f t="array" ref="M91">INDEX(Phi!$C32:$C34, MATCH(MAX(Phi!O32:O34), Phi!O32:O34))</f>
        <v>phi_3.5_vision_temp07</v>
      </c>
    </row>
    <row r="92" ht="15.75" customHeight="1">
      <c r="A92" s="51" t="s">
        <v>119</v>
      </c>
      <c r="B92" s="52" t="str">
        <f t="array" ref="B92">INDEX(Phi!$C35:$C37, MATCH(MAX(Phi!D35:D37),Phi!D35:D37))</f>
        <v>phi_3_mini_temp07</v>
      </c>
      <c r="C92" s="52" t="str">
        <f t="array" ref="C92">INDEX(Phi!$C35:$C37, MATCH(MAX(Phi!E35:E37),Phi!E35:E37))</f>
        <v>phi_3_mini_temp07</v>
      </c>
      <c r="D92" s="52" t="str">
        <f t="array" ref="D92">INDEX(Phi!$C35:$C37, MATCH(MAX(Phi!F35:F37),Phi!F35:F37))</f>
        <v>phi_3_mini_temp07</v>
      </c>
      <c r="E92" s="52" t="str">
        <f t="array" ref="E92">INDEX(Phi!$C35:$C37, MATCH(MAX(Phi!G35:G37),Phi!G35:G37))</f>
        <v>phi_3_mini_temp07</v>
      </c>
      <c r="F92" s="52" t="str">
        <f t="array" ref="F92">INDEX(Phi!$C35:$C37, MATCH(MAX(Phi!H35:H37),Phi!H35:H37))</f>
        <v>phi_3_mini_temp07</v>
      </c>
      <c r="G92" s="52" t="str">
        <f t="array" ref="G92">INDEX(Phi!$C35:$C37, MATCH(MAX(Phi!I35:I37),Phi!I35:I37))</f>
        <v>phi_3_mini_temp07</v>
      </c>
      <c r="H92" s="52" t="str">
        <f t="array" ref="H92">INDEX(Phi!$C35:$C37, MATCH(MAX(Phi!J35:J37),Phi!J35:J37))</f>
        <v>phi_3_mini_temp07</v>
      </c>
      <c r="I92" s="52" t="str">
        <f t="array" ref="I92">INDEX(Phi!$C35:$C37, MATCH(MAX(Phi!K35:K37),Phi!K35:K37))</f>
        <v>phi_3_mini_temp07</v>
      </c>
      <c r="J92" s="52" t="str">
        <f t="array" ref="J92">INDEX(Phi!$C35:$C37, MATCH(MAX(Phi!L35:L37),Phi!L35:L37))</f>
        <v>phi_3_mini_temp07</v>
      </c>
      <c r="K92" s="52" t="str">
        <f t="array" ref="K92">INDEX(Phi!$C35:$C37, MATCH(MAX(Phi!M35:M37),Phi!M35:M37))</f>
        <v>phi_3_mini_temp07</v>
      </c>
      <c r="L92" s="52" t="str">
        <f t="array" ref="L92">INDEX(Phi!$C35:$C37, MATCH(MAX(Phi!N35:N37),Phi!N35:N37))</f>
        <v>phi_3_mini_temp07</v>
      </c>
      <c r="M92" s="52" t="str">
        <f t="array" ref="M92">INDEX(Phi!$C35:$C37, MATCH(MAX(Phi!O35:O37),Phi!O35:O37))</f>
        <v>phi_3_mini_temp07</v>
      </c>
    </row>
    <row r="93" ht="15.75" customHeight="1">
      <c r="A93" s="51" t="s">
        <v>120</v>
      </c>
      <c r="B93" s="52" t="str">
        <f t="array" ref="B93">INDEX(Qwen!$C32:$C34, MATCH(MAX(Qwen!D32:D34), Qwen!D32:D34))</f>
        <v>qwen2_72b_temp07</v>
      </c>
      <c r="C93" s="52" t="str">
        <f t="array" ref="C93">INDEX(Qwen!$C32:$C34, MATCH(MAX(Qwen!E32:E34), Qwen!E32:E34))</f>
        <v>qwen2_72b_temp07</v>
      </c>
      <c r="D93" s="52" t="str">
        <f t="array" ref="D93">INDEX(Qwen!$C32:$C34, MATCH(MAX(Qwen!F32:F34), Qwen!F32:F34))</f>
        <v>qwen2_72b_temp07</v>
      </c>
      <c r="E93" s="52" t="str">
        <f t="array" ref="E93">INDEX(Qwen!$C32:$C34, MATCH(MAX(Qwen!G32:G34), Qwen!G32:G34))</f>
        <v>qwen2_72b_temp07</v>
      </c>
      <c r="F93" s="52" t="str">
        <f t="array" ref="F93">INDEX(Qwen!$C32:$C34, MATCH(MAX(Qwen!H32:H34), Qwen!H32:H34))</f>
        <v>qwen2_72b_temp07</v>
      </c>
      <c r="G93" s="52" t="str">
        <f t="array" ref="G93">INDEX(Qwen!$C32:$C34, MATCH(MAX(Qwen!I32:I34), Qwen!I32:I34))</f>
        <v>qwen2_72b_temp07</v>
      </c>
      <c r="H93" s="52" t="str">
        <f t="array" ref="H93">INDEX(Qwen!$C32:$C34, MATCH(MAX(Qwen!J32:J34), Qwen!J32:J34))</f>
        <v>qwen2_72b_temp07</v>
      </c>
      <c r="I93" s="52" t="str">
        <f t="array" ref="I93">INDEX(Qwen!$C32:$C34, MATCH(MAX(Qwen!K32:K34), Qwen!K32:K34))</f>
        <v>qwen2_72b_temp07</v>
      </c>
      <c r="J93" s="52" t="str">
        <f t="array" ref="J93">INDEX(Qwen!$C32:$C34, MATCH(MAX(Qwen!L32:L34), Qwen!L32:L34))</f>
        <v>qwen2_72b_temp07</v>
      </c>
      <c r="K93" s="52" t="str">
        <f t="array" ref="K93">INDEX(Qwen!$C32:$C34, MATCH(MAX(Qwen!M32:M34), Qwen!M32:M34))</f>
        <v>qwen2_72b_temp07</v>
      </c>
      <c r="L93" s="52" t="str">
        <f t="array" ref="L93">INDEX(Qwen!$C32:$C34, MATCH(MAX(Qwen!N32:N34), Qwen!N32:N34))</f>
        <v>qwen2_72b_temp07</v>
      </c>
      <c r="M93" s="52" t="str">
        <f t="array" ref="M93">INDEX(Qwen!$C32:$C34, MATCH(MAX(Qwen!O32:O34), Qwen!O32:O34))</f>
        <v>qwen2_72b_temp07</v>
      </c>
    </row>
    <row r="94" ht="15.75" customHeight="1">
      <c r="A94" s="51" t="s">
        <v>121</v>
      </c>
      <c r="B94" s="52" t="str">
        <f t="array" ref="B94">INDEX(Qwen!$C35:$C37, MATCH(MAX(Qwen!D35:D37),Qwen!D35:D37))</f>
        <v>qwen2_7b_temp07</v>
      </c>
      <c r="C94" s="52" t="str">
        <f t="array" ref="C94">INDEX(Qwen!$C35:$C37, MATCH(MAX(Qwen!E35:E37),Qwen!E35:E37))</f>
        <v>qwen2_7b_temp07</v>
      </c>
      <c r="D94" s="52" t="str">
        <f t="array" ref="D94">INDEX(Qwen!$C35:$C37, MATCH(MAX(Qwen!F35:F37),Qwen!F35:F37))</f>
        <v>qwen2_7b_temp07</v>
      </c>
      <c r="E94" s="52" t="str">
        <f t="array" ref="E94">INDEX(Qwen!$C35:$C37, MATCH(MAX(Qwen!G35:G37),Qwen!G35:G37))</f>
        <v>qwen2_7b_temp07</v>
      </c>
      <c r="F94" s="52" t="str">
        <f t="array" ref="F94">INDEX(Qwen!$C35:$C37, MATCH(MAX(Qwen!H35:H37),Qwen!H35:H37))</f>
        <v>qwen2_7b_temp07</v>
      </c>
      <c r="G94" s="52" t="str">
        <f t="array" ref="G94">INDEX(Qwen!$C35:$C37, MATCH(MAX(Qwen!I35:I37),Qwen!I35:I37))</f>
        <v>qwen2_7b_temp07</v>
      </c>
      <c r="H94" s="52" t="str">
        <f t="array" ref="H94">INDEX(Qwen!$C35:$C37, MATCH(MAX(Qwen!J35:J37),Qwen!J35:J37))</f>
        <v>qwen2_7b_temp07</v>
      </c>
      <c r="I94" s="52" t="str">
        <f t="array" ref="I94">INDEX(Qwen!$C35:$C37, MATCH(MAX(Qwen!K35:K37),Qwen!K35:K37))</f>
        <v>qwen2_7b_temp07</v>
      </c>
      <c r="J94" s="52" t="str">
        <f t="array" ref="J94">INDEX(Qwen!$C35:$C37, MATCH(MAX(Qwen!L35:L37),Qwen!L35:L37))</f>
        <v>qwen2_7b_temp07</v>
      </c>
      <c r="K94" s="52" t="str">
        <f t="array" ref="K94">INDEX(Qwen!$C35:$C37, MATCH(MAX(Qwen!M35:M37),Qwen!M35:M37))</f>
        <v>qwen2_7b_temp07</v>
      </c>
      <c r="L94" s="52" t="str">
        <f t="array" ref="L94">INDEX(Qwen!$C35:$C37, MATCH(MAX(Qwen!N35:N37),Qwen!N35:N37))</f>
        <v>qwen2_7b_temp07</v>
      </c>
      <c r="M94" s="52" t="str">
        <f t="array" ref="M94">INDEX(Qwen!$C35:$C37, MATCH(MAX(Qwen!O35:O37),Qwen!O35:O37))</f>
        <v>qwen2_7b_temp07</v>
      </c>
    </row>
    <row r="95" ht="15.75" customHeight="1">
      <c r="A95" s="51" t="s">
        <v>122</v>
      </c>
      <c r="B95" s="52" t="str">
        <f t="array" ref="B95">INDEX(Sabia!$C17:$C19, MATCH(MAX(Sabia!D17:D19), Sabia!D17:D19, 0))</f>
        <v>sabia3_temp05</v>
      </c>
      <c r="C95" s="52" t="str">
        <f t="array" ref="C95">INDEX(Sabia!$C17:$C19, MATCH(MAX(Sabia!E17:E19), Sabia!E17:E19, 0))</f>
        <v>sabia3_temp03</v>
      </c>
      <c r="D95" s="52" t="str">
        <f t="array" ref="D95">INDEX(Sabia!$C17:$C19, MATCH(MAX(Sabia!F17:F19), Sabia!F17:F19, 0))</f>
        <v>sabia3_temp03</v>
      </c>
      <c r="E95" s="52" t="str">
        <f t="array" ref="E95">INDEX(Sabia!$C17:$C19, MATCH(MAX(Sabia!G17:G19), Sabia!G17:G19, 0))</f>
        <v>sabia3_temp03</v>
      </c>
      <c r="F95" s="52" t="str">
        <f t="array" ref="F95">INDEX(Sabia!$C17:$C19, MATCH(MAX(Sabia!H17:H19), Sabia!H17:H19, 0))</f>
        <v>sabia3_temp07</v>
      </c>
      <c r="G95" s="52" t="str">
        <f t="array" ref="G95">INDEX(Sabia!$C17:$C19, MATCH(MAX(Sabia!I17:I19), Sabia!I17:I19, 0))</f>
        <v>sabia3_temp03</v>
      </c>
      <c r="H95" s="52" t="str">
        <f t="array" ref="H95">INDEX(Sabia!$C17:$C19, MATCH(MAX(Sabia!J17:J19), Sabia!J17:J19, 0))</f>
        <v>sabia3_temp07</v>
      </c>
      <c r="I95" s="52" t="str">
        <f t="array" ref="I95">INDEX(Sabia!$C17:$C19, MATCH(MAX(Sabia!K17:K19), Sabia!K17:K19, 0))</f>
        <v>sabia3_temp07</v>
      </c>
      <c r="J95" s="52" t="str">
        <f t="array" ref="J95">INDEX(Sabia!$C17:$C19, MATCH(MAX(Sabia!L17:L19), Sabia!L17:L19, 0))</f>
        <v>sabia3_temp03</v>
      </c>
      <c r="K95" s="52" t="str">
        <f t="array" ref="K95">INDEX(Sabia!$C17:$C19, MATCH(MAX(Sabia!M17:M19), Sabia!M17:M19, 0))</f>
        <v>sabia3_temp03</v>
      </c>
      <c r="L95" s="52" t="str">
        <f t="array" ref="L95">INDEX(Sabia!$C17:$C19, MATCH(MAX(Sabia!N17:N19), Sabia!N17:N19, 0))</f>
        <v>sabia3_temp03</v>
      </c>
      <c r="M95" s="52" t="str">
        <f t="array" ref="M95">INDEX(Sabia!$C17:$C19, MATCH(MAX(Sabia!O17:O19), Sabia!O17:O19, 0))</f>
        <v>sabia3_temp03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M1"/>
    <mergeCell ref="B17:M17"/>
    <mergeCell ref="B33:M33"/>
    <mergeCell ref="B49:M49"/>
    <mergeCell ref="B65:M65"/>
    <mergeCell ref="B81:M81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2024-10-22T15:02:03Z</dcterms:created>
  <dc:creator>Rodrigo Cavalcanti</dc:creator>
</cp:coreProperties>
</file>